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aterrinhaalimentoscombr.sharepoint.com/sites/DT-FinanceiroCP/DADOS/CONFIRMAÇÂO DE ENTREGA/"/>
    </mc:Choice>
  </mc:AlternateContent>
  <xr:revisionPtr revIDLastSave="985" documentId="8_{E176FAEE-370F-4BDD-B645-D2812466DC45}" xr6:coauthVersionLast="47" xr6:coauthVersionMax="47" xr10:uidLastSave="{B0ED32FF-85FB-4B2C-BF4E-3B1EA3A43032}"/>
  <bookViews>
    <workbookView xWindow="-108" yWindow="-108" windowWidth="23256" windowHeight="12576" activeTab="1" xr2:uid="{00000000-000D-0000-FFFF-FFFF00000000}"/>
  </bookViews>
  <sheets>
    <sheet name="Linha do tempo." sheetId="10" r:id="rId1"/>
    <sheet name="tabela" sheetId="7" r:id="rId2"/>
    <sheet name="report" sheetId="1" r:id="rId3"/>
    <sheet name="linha do tempo" sheetId="8" state="hidden" r:id="rId4"/>
  </sheets>
  <definedNames>
    <definedName name="_xlnm._FilterDatabase" localSheetId="1" hidden="1">tabela!$A$2:$D$12</definedName>
  </definedNames>
  <calcPr calcId="191028"/>
  <pivotCaches>
    <pivotCache cacheId="10" r:id="rId5"/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" i="1" l="1"/>
  <c r="H121" i="1"/>
  <c r="H122" i="1"/>
  <c r="H123" i="1"/>
  <c r="H124" i="1"/>
  <c r="H125" i="1"/>
  <c r="H126" i="1"/>
  <c r="H127" i="1"/>
  <c r="H128" i="1"/>
  <c r="H129" i="1"/>
  <c r="H130" i="1"/>
  <c r="H117" i="1"/>
  <c r="H118" i="1"/>
  <c r="H119" i="1"/>
  <c r="H113" i="1"/>
  <c r="H114" i="1"/>
  <c r="H115" i="1"/>
  <c r="H116" i="1"/>
  <c r="H111" i="1"/>
  <c r="H112" i="1"/>
  <c r="H105" i="1"/>
  <c r="H106" i="1"/>
  <c r="H107" i="1"/>
  <c r="H108" i="1"/>
  <c r="H109" i="1"/>
  <c r="H110" i="1"/>
  <c r="H104" i="1"/>
  <c r="H103" i="1"/>
  <c r="H58" i="1"/>
  <c r="H59" i="1"/>
  <c r="H100" i="1"/>
  <c r="H101" i="1"/>
  <c r="H102" i="1"/>
  <c r="H99" i="1"/>
  <c r="H98" i="1"/>
  <c r="H96" i="1"/>
  <c r="H97" i="1"/>
  <c r="H84" i="1"/>
  <c r="H85" i="1"/>
  <c r="H86" i="1"/>
  <c r="H87" i="1"/>
  <c r="H88" i="1"/>
  <c r="H89" i="1"/>
  <c r="H90" i="1"/>
  <c r="H91" i="1"/>
  <c r="H92" i="1"/>
  <c r="H93" i="1"/>
  <c r="H94" i="1"/>
  <c r="H95" i="1"/>
  <c r="H80" i="1"/>
  <c r="H81" i="1"/>
  <c r="H82" i="1"/>
  <c r="H83" i="1"/>
  <c r="H69" i="1"/>
  <c r="H70" i="1"/>
  <c r="H71" i="1"/>
  <c r="H72" i="1"/>
  <c r="H73" i="1"/>
  <c r="H74" i="1"/>
  <c r="H75" i="1"/>
  <c r="H76" i="1"/>
  <c r="H77" i="1"/>
  <c r="H78" i="1"/>
  <c r="H79" i="1"/>
  <c r="H68" i="1"/>
  <c r="H64" i="1"/>
  <c r="H65" i="1"/>
  <c r="H66" i="1"/>
  <c r="H67" i="1"/>
  <c r="H60" i="1"/>
  <c r="H61" i="1"/>
  <c r="H62" i="1"/>
  <c r="H63" i="1"/>
  <c r="H52" i="1"/>
  <c r="H53" i="1"/>
  <c r="H54" i="1"/>
  <c r="H55" i="1"/>
  <c r="H56" i="1"/>
  <c r="H57" i="1"/>
  <c r="H51" i="1"/>
  <c r="H50" i="1"/>
  <c r="H42" i="1"/>
  <c r="H43" i="1"/>
  <c r="H44" i="1"/>
  <c r="H45" i="1"/>
  <c r="H46" i="1"/>
  <c r="H47" i="1"/>
  <c r="H48" i="1"/>
  <c r="H49" i="1"/>
  <c r="H41" i="1"/>
  <c r="H40" i="1"/>
  <c r="H39" i="1"/>
  <c r="H38" i="1"/>
  <c r="H34" i="1"/>
  <c r="H35" i="1"/>
  <c r="H36" i="1"/>
  <c r="H37" i="1"/>
  <c r="H32" i="1"/>
  <c r="H33" i="1"/>
  <c r="H2" i="1"/>
  <c r="H28" i="1"/>
  <c r="H29" i="1"/>
  <c r="H30" i="1"/>
  <c r="H31" i="1"/>
  <c r="H27" i="1"/>
  <c r="D7" i="8"/>
  <c r="D3" i="8"/>
  <c r="D4" i="8"/>
  <c r="D5" i="8"/>
  <c r="D6" i="8"/>
  <c r="D8" i="8"/>
  <c r="D2" i="8"/>
  <c r="H14" i="1"/>
  <c r="H12" i="1"/>
  <c r="H10" i="1"/>
  <c r="H11" i="1"/>
  <c r="H13" i="1"/>
  <c r="H9" i="1"/>
  <c r="H7" i="1"/>
  <c r="H8" i="1"/>
  <c r="H5" i="1"/>
  <c r="H6" i="1"/>
  <c r="H4" i="1"/>
  <c r="H3" i="1"/>
  <c r="H18" i="1"/>
  <c r="H25" i="1"/>
  <c r="H24" i="1"/>
  <c r="H16" i="1"/>
  <c r="H17" i="1"/>
  <c r="H19" i="1"/>
  <c r="H20" i="1"/>
  <c r="H21" i="1"/>
  <c r="H22" i="1"/>
  <c r="H23" i="1"/>
  <c r="H26" i="1"/>
  <c r="H15" i="1"/>
</calcChain>
</file>

<file path=xl/sharedStrings.xml><?xml version="1.0" encoding="utf-8"?>
<sst xmlns="http://schemas.openxmlformats.org/spreadsheetml/2006/main" count="308" uniqueCount="39">
  <si>
    <t>Mês</t>
  </si>
  <si>
    <t>Valor líquido.</t>
  </si>
  <si>
    <t>Desconto Financeiro.</t>
  </si>
  <si>
    <t xml:space="preserve"> Ganha por %</t>
  </si>
  <si>
    <t>Janeiro</t>
  </si>
  <si>
    <t>Fevereiro</t>
  </si>
  <si>
    <t>Março</t>
  </si>
  <si>
    <t>Abril</t>
  </si>
  <si>
    <t>Maio</t>
  </si>
  <si>
    <t>Junho</t>
  </si>
  <si>
    <t>Julho</t>
  </si>
  <si>
    <t>Total Geral</t>
  </si>
  <si>
    <t xml:space="preserve">Fornecedores </t>
  </si>
  <si>
    <t>Média de Ganha por %</t>
  </si>
  <si>
    <t xml:space="preserve">FORT TAPE INDUSTRIA E COMERCIO DE MATERIAIS ADESIVOS LTDA </t>
  </si>
  <si>
    <t>JM CONFECCOES EIRELI</t>
  </si>
  <si>
    <t>DESPACHOS ENCOMENDAS E CARGAS LOGISTICA LTDA</t>
  </si>
  <si>
    <t xml:space="preserve">DU PRATA ALIMENTOS LTDA - FORN: DU PRATA ALIMENTOS </t>
  </si>
  <si>
    <t>GROSS PACK INDUSTRIA E COMERCIO LTDA</t>
  </si>
  <si>
    <t>JNBM - CONDIMENTOS E ESPECIARIAS LTDA</t>
  </si>
  <si>
    <t>L.P</t>
  </si>
  <si>
    <t>Duplicata</t>
  </si>
  <si>
    <t>Favorecido</t>
  </si>
  <si>
    <t>Vencimento</t>
  </si>
  <si>
    <t>Valor líquido</t>
  </si>
  <si>
    <t>Desconto Financeiro</t>
  </si>
  <si>
    <t>Ganha por %</t>
  </si>
  <si>
    <t xml:space="preserve">FWSG COMERCIO E SERVICOS LTDA - ME - CONSULTORIA </t>
  </si>
  <si>
    <t xml:space="preserve">PICCI GRAF COMERCIO DE ETIQUETAS EIRELI </t>
  </si>
  <si>
    <t>FORNECEDOR</t>
  </si>
  <si>
    <t>VALOR</t>
  </si>
  <si>
    <t>DESCONTO FINANCEIRO</t>
  </si>
  <si>
    <t>GANHO POR %</t>
  </si>
  <si>
    <t>(Tudo)</t>
  </si>
  <si>
    <t>Agosto</t>
  </si>
  <si>
    <t xml:space="preserve">FLAVIA MEDEIROS SILVA - SERVICOS LOGISTICOS </t>
  </si>
  <si>
    <t>Agpsto</t>
  </si>
  <si>
    <t>Setembro</t>
  </si>
  <si>
    <t xml:space="preserve">LOGUBER GESTAO EM TRANSPORTES LTDA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</si>
</sst>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_-&quot;R$&quot;\ * #,##0.00_-;\-&quot;R$&quot;\ * #,##0.00_-;_-&quot;R$&quot;\ * &quot;-&quot;??_-;_-@_-"/>
  </numFmts>
  <fonts count="1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indexed="9"/>
      <name val="Calibri"/>
      <family val="2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sz val="11"/>
      <color indexed="8"/>
      <name val="Arial Black"/>
      <family val="2"/>
    </font>
    <font>
      <sz val="13"/>
      <color indexed="8"/>
      <name val="Aptos Narrow"/>
      <family val="2"/>
      <scheme val="minor"/>
    </font>
    <font>
      <b/>
      <sz val="13"/>
      <color indexed="8"/>
      <name val="Aptos Narrow"/>
      <family val="2"/>
      <scheme val="minor"/>
    </font>
    <font>
      <b/>
      <sz val="15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bgColor indexed="63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right"/>
    </xf>
    <xf numFmtId="44" fontId="0" fillId="0" borderId="0" xfId="1" applyFont="1"/>
    <xf numFmtId="10" fontId="3" fillId="2" borderId="1" xfId="2" applyNumberFormat="1" applyFont="1" applyFill="1" applyBorder="1" applyAlignment="1">
      <alignment horizontal="center"/>
    </xf>
    <xf numFmtId="10" fontId="0" fillId="0" borderId="0" xfId="2" applyNumberFormat="1" applyFont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164" fontId="0" fillId="0" borderId="0" xfId="2" applyNumberFormat="1" applyFont="1"/>
    <xf numFmtId="0" fontId="6" fillId="0" borderId="0" xfId="0" applyFont="1"/>
    <xf numFmtId="14" fontId="0" fillId="0" borderId="0" xfId="0" applyNumberFormat="1"/>
    <xf numFmtId="44" fontId="0" fillId="0" borderId="0" xfId="1" applyFont="1" applyBorder="1" applyAlignment="1">
      <alignment horizontal="right"/>
    </xf>
    <xf numFmtId="10" fontId="0" fillId="0" borderId="0" xfId="2" applyNumberFormat="1" applyFont="1" applyBorder="1"/>
    <xf numFmtId="0" fontId="2" fillId="5" borderId="3" xfId="0" applyFont="1" applyFill="1" applyBorder="1" applyAlignment="1">
      <alignment horizontal="left"/>
    </xf>
    <xf numFmtId="0" fontId="0" fillId="0" borderId="0" xfId="0" pivotButton="1"/>
    <xf numFmtId="44" fontId="0" fillId="0" borderId="0" xfId="0" applyNumberFormat="1"/>
    <xf numFmtId="10" fontId="0" fillId="0" borderId="0" xfId="0" applyNumberFormat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4" fontId="2" fillId="4" borderId="3" xfId="0" applyNumberFormat="1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0" fontId="8" fillId="0" borderId="0" xfId="0" pivotButton="1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left"/>
    </xf>
    <xf numFmtId="44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9" fillId="0" borderId="0" xfId="0" pivotButton="1" applyFont="1"/>
    <xf numFmtId="0" fontId="1" fillId="5" borderId="3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75"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font>
        <b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sz val="15"/>
      </font>
    </dxf>
    <dxf>
      <font>
        <sz val="15"/>
      </font>
    </dxf>
    <dxf>
      <font>
        <b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3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b/>
      </font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9"/>
        <name val="Calibri"/>
        <scheme val="none"/>
      </font>
      <fill>
        <patternFill patternType="solid">
          <fgColor indexed="63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de antecipação dos fornecedores.xlsx]Linha do tempo.!Tabela dinâmica7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4557182718090837E-2"/>
              <c:y val="-3.38151864268504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88096197769716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076286205549227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71384846610261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970531595682731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612253123740414E-2"/>
              <c:y val="7.501170950504675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603128867566618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00871263331829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013068949977394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7.010164738871327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201742526663655E-2"/>
              <c:y val="-3.38151864268504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4020329477742727E-2"/>
              <c:y val="-3.3815186426851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011616844424269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04356316659229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00871263331829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7.010164738871327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013068949977394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201742526663655E-2"/>
              <c:y val="-3.38151864268504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04356316659229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011616844424269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4020329477742727E-2"/>
              <c:y val="-3.3815186426851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076286205549227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88096197769716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4557182718090837E-2"/>
              <c:y val="-3.38151864268504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71384846610261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970531595682731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1.612253123740414E-2"/>
              <c:y val="7.501170950504675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2.603128867566618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'Linha do tempo.'!$B$3</c:f>
              <c:strCache>
                <c:ptCount val="1"/>
                <c:pt idx="0">
                  <c:v>Valor líquido.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'Linha do tempo.'!$A$4:$A$13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Agpsto</c:v>
                </c:pt>
              </c:strCache>
            </c:strRef>
          </c:cat>
          <c:val>
            <c:numRef>
              <c:f>'Linha do tempo.'!$B$4:$B$13</c:f>
              <c:numCache>
                <c:formatCode>_("R$"* #,##0.00_);_("R$"* \(#,##0.00\);_("R$"* "-"??_);_(@_)</c:formatCode>
                <c:ptCount val="9"/>
                <c:pt idx="0">
                  <c:v>114169.85</c:v>
                </c:pt>
                <c:pt idx="1">
                  <c:v>151200.88999999998</c:v>
                </c:pt>
                <c:pt idx="2">
                  <c:v>24614.370000000003</c:v>
                </c:pt>
                <c:pt idx="3">
                  <c:v>68815.92</c:v>
                </c:pt>
                <c:pt idx="4">
                  <c:v>99492.59</c:v>
                </c:pt>
                <c:pt idx="5">
                  <c:v>181867.80000000005</c:v>
                </c:pt>
                <c:pt idx="6">
                  <c:v>176023.93999999997</c:v>
                </c:pt>
                <c:pt idx="7">
                  <c:v>232778.93999999997</c:v>
                </c:pt>
                <c:pt idx="8">
                  <c:v>11041.27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6-4D17-A7C3-9BA6A22F0B3A}"/>
            </c:ext>
          </c:extLst>
        </c:ser>
        <c:ser>
          <c:idx val="1"/>
          <c:order val="1"/>
          <c:tx>
            <c:strRef>
              <c:f>'Linha do tempo.'!$C$3</c:f>
              <c:strCache>
                <c:ptCount val="1"/>
                <c:pt idx="0">
                  <c:v>Desconto Financeiro.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46-4D17-A7C3-9BA6A22F0B3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C46-4D17-A7C3-9BA6A22F0B3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C46-4D17-A7C3-9BA6A22F0B3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1C46-4D17-A7C3-9BA6A22F0B3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C46-4D17-A7C3-9BA6A22F0B3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1C46-4D17-A7C3-9BA6A22F0B3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C46-4D17-A7C3-9BA6A22F0B3A}"/>
              </c:ext>
            </c:extLst>
          </c:dPt>
          <c:dLbls>
            <c:dLbl>
              <c:idx val="0"/>
              <c:layout>
                <c:manualLayout>
                  <c:x val="6.00871263331829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46-4D17-A7C3-9BA6A22F0B3A}"/>
                </c:ext>
              </c:extLst>
            </c:dLbl>
            <c:dLbl>
              <c:idx val="1"/>
              <c:layout>
                <c:manualLayout>
                  <c:x val="7.010164738871327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46-4D17-A7C3-9BA6A22F0B3A}"/>
                </c:ext>
              </c:extLst>
            </c:dLbl>
            <c:dLbl>
              <c:idx val="2"/>
              <c:layout>
                <c:manualLayout>
                  <c:x val="9.013068949977394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46-4D17-A7C3-9BA6A22F0B3A}"/>
                </c:ext>
              </c:extLst>
            </c:dLbl>
            <c:dLbl>
              <c:idx val="3"/>
              <c:layout>
                <c:manualLayout>
                  <c:x val="1.201742526663655E-2"/>
                  <c:y val="-3.38151864268504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46-4D17-A7C3-9BA6A22F0B3A}"/>
                </c:ext>
              </c:extLst>
            </c:dLbl>
            <c:dLbl>
              <c:idx val="4"/>
              <c:layout>
                <c:manualLayout>
                  <c:x val="3.004356316659229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C46-4D17-A7C3-9BA6A22F0B3A}"/>
                </c:ext>
              </c:extLst>
            </c:dLbl>
            <c:dLbl>
              <c:idx val="5"/>
              <c:layout>
                <c:manualLayout>
                  <c:x val="8.011616844424269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C46-4D17-A7C3-9BA6A22F0B3A}"/>
                </c:ext>
              </c:extLst>
            </c:dLbl>
            <c:dLbl>
              <c:idx val="6"/>
              <c:layout>
                <c:manualLayout>
                  <c:x val="1.4020329477742727E-2"/>
                  <c:y val="-3.38151864268516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C46-4D17-A7C3-9BA6A22F0B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'Linha do tempo.'!$A$4:$A$13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Agpsto</c:v>
                </c:pt>
              </c:strCache>
            </c:strRef>
          </c:cat>
          <c:val>
            <c:numRef>
              <c:f>'Linha do tempo.'!$C$4:$C$13</c:f>
              <c:numCache>
                <c:formatCode>_("R$"* #,##0.00_);_("R$"* \(#,##0.00\);_("R$"* "-"??_);_(@_)</c:formatCode>
                <c:ptCount val="9"/>
                <c:pt idx="0">
                  <c:v>4325.51</c:v>
                </c:pt>
                <c:pt idx="1">
                  <c:v>5523.6799999999994</c:v>
                </c:pt>
                <c:pt idx="2">
                  <c:v>884.78</c:v>
                </c:pt>
                <c:pt idx="3">
                  <c:v>1865.5700000000002</c:v>
                </c:pt>
                <c:pt idx="4">
                  <c:v>2769.39</c:v>
                </c:pt>
                <c:pt idx="5">
                  <c:v>4984.67</c:v>
                </c:pt>
                <c:pt idx="6">
                  <c:v>5496.14</c:v>
                </c:pt>
                <c:pt idx="7">
                  <c:v>5529.87</c:v>
                </c:pt>
                <c:pt idx="8">
                  <c:v>436.23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6-4D17-A7C3-9BA6A22F0B3A}"/>
            </c:ext>
          </c:extLst>
        </c:ser>
        <c:ser>
          <c:idx val="2"/>
          <c:order val="2"/>
          <c:tx>
            <c:strRef>
              <c:f>'Linha do tempo.'!$D$3</c:f>
              <c:strCache>
                <c:ptCount val="1"/>
                <c:pt idx="0">
                  <c:v> Ganha por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C46-4D17-A7C3-9BA6A22F0B3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46-4D17-A7C3-9BA6A22F0B3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C46-4D17-A7C3-9BA6A22F0B3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46-4D17-A7C3-9BA6A22F0B3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C46-4D17-A7C3-9BA6A22F0B3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46-4D17-A7C3-9BA6A22F0B3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C46-4D17-A7C3-9BA6A22F0B3A}"/>
              </c:ext>
            </c:extLst>
          </c:dPt>
          <c:dLbls>
            <c:dLbl>
              <c:idx val="0"/>
              <c:layout>
                <c:manualLayout>
                  <c:x val="2.076286205549227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46-4D17-A7C3-9BA6A22F0B3A}"/>
                </c:ext>
              </c:extLst>
            </c:dLbl>
            <c:dLbl>
              <c:idx val="1"/>
              <c:layout>
                <c:manualLayout>
                  <c:x val="1.88096197769716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46-4D17-A7C3-9BA6A22F0B3A}"/>
                </c:ext>
              </c:extLst>
            </c:dLbl>
            <c:dLbl>
              <c:idx val="2"/>
              <c:layout>
                <c:manualLayout>
                  <c:x val="2.4557182718090837E-2"/>
                  <c:y val="-3.38151864268504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46-4D17-A7C3-9BA6A22F0B3A}"/>
                </c:ext>
              </c:extLst>
            </c:dLbl>
            <c:dLbl>
              <c:idx val="3"/>
              <c:layout>
                <c:manualLayout>
                  <c:x val="2.713848466102613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46-4D17-A7C3-9BA6A22F0B3A}"/>
                </c:ext>
              </c:extLst>
            </c:dLbl>
            <c:dLbl>
              <c:idx val="4"/>
              <c:layout>
                <c:manualLayout>
                  <c:x val="1.970531595682731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46-4D17-A7C3-9BA6A22F0B3A}"/>
                </c:ext>
              </c:extLst>
            </c:dLbl>
            <c:dLbl>
              <c:idx val="5"/>
              <c:layout>
                <c:manualLayout>
                  <c:x val="1.612253123740414E-2"/>
                  <c:y val="7.50117095050467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46-4D17-A7C3-9BA6A22F0B3A}"/>
                </c:ext>
              </c:extLst>
            </c:dLbl>
            <c:dLbl>
              <c:idx val="6"/>
              <c:layout>
                <c:manualLayout>
                  <c:x val="2.603128867566618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46-4D17-A7C3-9BA6A22F0B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'Linha do tempo.'!$A$4:$A$13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Agpsto</c:v>
                </c:pt>
              </c:strCache>
            </c:strRef>
          </c:cat>
          <c:val>
            <c:numRef>
              <c:f>'Linha do tempo.'!$D$4:$D$13</c:f>
              <c:numCache>
                <c:formatCode>0.00%</c:formatCode>
                <c:ptCount val="9"/>
                <c:pt idx="0">
                  <c:v>4.3776150077792307E-2</c:v>
                </c:pt>
                <c:pt idx="1">
                  <c:v>3.4671143129155806E-2</c:v>
                </c:pt>
                <c:pt idx="2">
                  <c:v>3.1926831866718873E-2</c:v>
                </c:pt>
                <c:pt idx="3">
                  <c:v>2.4774130725283491E-2</c:v>
                </c:pt>
                <c:pt idx="4">
                  <c:v>4.5732174685907075E-2</c:v>
                </c:pt>
                <c:pt idx="5">
                  <c:v>4.1986267281615516E-2</c:v>
                </c:pt>
                <c:pt idx="6">
                  <c:v>4.5113735997973359E-2</c:v>
                </c:pt>
                <c:pt idx="7">
                  <c:v>3.603415173702252E-2</c:v>
                </c:pt>
                <c:pt idx="8">
                  <c:v>3.6166276882344799E-2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46-4D17-A7C3-9BA6A22F0B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747823"/>
        <c:axId val="204847760"/>
      </c:barChart>
      <c:catAx>
        <c:axId val="155474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847760"/>
        <c:crosses val="autoZero"/>
        <c:auto val="1"/>
        <c:lblAlgn val="ctr"/>
        <c:lblOffset val="100"/>
        <c:noMultiLvlLbl val="0"/>
      </c:catAx>
      <c:valAx>
        <c:axId val="20484776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4747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baseline="0">
                <a:solidFill>
                  <a:srgbClr val="FF0000"/>
                </a:solidFill>
              </a:rPr>
              <a:t>Indicadores de Margem e Descontos por Fornecedor (Jan–Mar)</a:t>
            </a:r>
            <a:endParaRPr lang="pt-BR" sz="18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495494043095117"/>
          <c:y val="1.10638758711019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p3d/>
      </c:spPr>
    </c:backWall>
    <c:plotArea>
      <c:layout>
        <c:manualLayout>
          <c:layoutTarget val="inner"/>
          <c:xMode val="edge"/>
          <c:yMode val="edge"/>
          <c:x val="1.7014694508894045E-2"/>
          <c:y val="0.12622769619453655"/>
          <c:w val="0.96597061098221193"/>
          <c:h val="0.6556815878829925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495-4861-9F57-1570C491FD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495-4861-9F57-1570C491FD8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8495-4861-9F57-1570C491FD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495-4861-9F57-1570C491FD8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495-4861-9F57-1570C491FD8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8495-4861-9F57-1570C491FD89}"/>
              </c:ext>
            </c:extLst>
          </c:dPt>
          <c:dLbls>
            <c:dLbl>
              <c:idx val="0"/>
              <c:layout>
                <c:manualLayout>
                  <c:x val="5.6170351204485498E-3"/>
                  <c:y val="-2.4795333825778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95-4861-9F57-1570C491FD89}"/>
                </c:ext>
              </c:extLst>
            </c:dLbl>
            <c:dLbl>
              <c:idx val="1"/>
              <c:layout>
                <c:manualLayout>
                  <c:x val="3.4663799691274874E-3"/>
                  <c:y val="-2.37560904341998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95-4861-9F57-1570C491FD89}"/>
                </c:ext>
              </c:extLst>
            </c:dLbl>
            <c:dLbl>
              <c:idx val="2"/>
              <c:layout>
                <c:manualLayout>
                  <c:x val="4.2975003551177261E-3"/>
                  <c:y val="-1.9536278749797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95-4861-9F57-1570C491FD89}"/>
                </c:ext>
              </c:extLst>
            </c:dLbl>
            <c:dLbl>
              <c:idx val="3"/>
              <c:layout>
                <c:manualLayout>
                  <c:x val="5.1412441940118514E-3"/>
                  <c:y val="-2.4998166086652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95-4861-9F57-1570C491FD89}"/>
                </c:ext>
              </c:extLst>
            </c:dLbl>
            <c:dLbl>
              <c:idx val="4"/>
              <c:layout>
                <c:manualLayout>
                  <c:x val="8.3665017986372606E-3"/>
                  <c:y val="-3.772743665897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95-4861-9F57-1570C491FD89}"/>
                </c:ext>
              </c:extLst>
            </c:dLbl>
            <c:dLbl>
              <c:idx val="5"/>
              <c:layout>
                <c:manualLayout>
                  <c:x val="5.0181440630500595E-3"/>
                  <c:y val="-1.8071676766614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95-4861-9F57-1570C491FD89}"/>
                </c:ext>
              </c:extLst>
            </c:dLbl>
            <c:dLbl>
              <c:idx val="6"/>
              <c:layout>
                <c:manualLayout>
                  <c:x val="3.0319777998706193E-3"/>
                  <c:y val="-1.3166627501737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95-4861-9F57-1570C491FD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'linha do tempo'!$A$2:$A$8</c:f>
              <c:strCache>
                <c:ptCount val="7"/>
                <c:pt idx="0">
                  <c:v>DESPACHOS ENCOMENDAS E CARGAS LOGISTICA LTDA</c:v>
                </c:pt>
                <c:pt idx="1">
                  <c:v>DU PRATA ALIMENTOS LTDA - FORN: DU PRATA ALIMENTOS </c:v>
                </c:pt>
                <c:pt idx="2">
                  <c:v>FORT TAPE INDUSTRIA E COMERCIO DE MATERIAIS ADESIVOS LTDA </c:v>
                </c:pt>
                <c:pt idx="3">
                  <c:v>FWSG COMERCIO E SERVICOS LTDA - ME - CONSULTORIA </c:v>
                </c:pt>
                <c:pt idx="4">
                  <c:v>GROSS PACK INDUSTRIA E COMERCIO LTDA</c:v>
                </c:pt>
                <c:pt idx="5">
                  <c:v>JM CONFECCOES EIRELI</c:v>
                </c:pt>
                <c:pt idx="6">
                  <c:v>PICCI GRAF COMERCIO DE ETIQUETAS EIRELI </c:v>
                </c:pt>
              </c:strCache>
            </c:strRef>
          </c:cat>
          <c:val>
            <c:numRef>
              <c:f>'linha do tempo'!$B$2:$B$8</c:f>
              <c:numCache>
                <c:formatCode>_("R$"* #,##0.00_);_("R$"* \(#,##0.00\);_("R$"* "-"??_);_(@_)</c:formatCode>
                <c:ptCount val="7"/>
                <c:pt idx="0">
                  <c:v>58896.08</c:v>
                </c:pt>
                <c:pt idx="1">
                  <c:v>68072.399999999994</c:v>
                </c:pt>
                <c:pt idx="2">
                  <c:v>31186.55</c:v>
                </c:pt>
                <c:pt idx="3">
                  <c:v>5383.74</c:v>
                </c:pt>
                <c:pt idx="4">
                  <c:v>11243.85</c:v>
                </c:pt>
                <c:pt idx="5">
                  <c:v>109702.44</c:v>
                </c:pt>
                <c:pt idx="6">
                  <c:v>5500.05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5-4861-9F57-1570C491FD89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dLbls>
            <c:dLbl>
              <c:idx val="1"/>
              <c:layout>
                <c:manualLayout>
                  <c:x val="6.1762707677104562E-3"/>
                  <c:y val="-1.1595902307114983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95-4861-9F57-1570C491FD89}"/>
                </c:ext>
              </c:extLst>
            </c:dLbl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'linha do tempo'!$A$2:$A$8</c:f>
              <c:strCache>
                <c:ptCount val="7"/>
                <c:pt idx="0">
                  <c:v>DESPACHOS ENCOMENDAS E CARGAS LOGISTICA LTDA</c:v>
                </c:pt>
                <c:pt idx="1">
                  <c:v>DU PRATA ALIMENTOS LTDA - FORN: DU PRATA ALIMENTOS </c:v>
                </c:pt>
                <c:pt idx="2">
                  <c:v>FORT TAPE INDUSTRIA E COMERCIO DE MATERIAIS ADESIVOS LTDA </c:v>
                </c:pt>
                <c:pt idx="3">
                  <c:v>FWSG COMERCIO E SERVICOS LTDA - ME - CONSULTORIA </c:v>
                </c:pt>
                <c:pt idx="4">
                  <c:v>GROSS PACK INDUSTRIA E COMERCIO LTDA</c:v>
                </c:pt>
                <c:pt idx="5">
                  <c:v>JM CONFECCOES EIRELI</c:v>
                </c:pt>
                <c:pt idx="6">
                  <c:v>PICCI GRAF COMERCIO DE ETIQUETAS EIRELI </c:v>
                </c:pt>
              </c:strCache>
            </c:strRef>
          </c:cat>
          <c:val>
            <c:numRef>
              <c:f>'linha do tempo'!$C$2:$C$8</c:f>
              <c:numCache>
                <c:formatCode>_("R$"* #,##0.00_);_("R$"* \(#,##0.00\);_("R$"* "-"??_);_(@_)</c:formatCode>
                <c:ptCount val="7"/>
                <c:pt idx="0">
                  <c:v>482.98</c:v>
                </c:pt>
                <c:pt idx="1">
                  <c:v>3207.6</c:v>
                </c:pt>
                <c:pt idx="2">
                  <c:v>1889.05</c:v>
                </c:pt>
                <c:pt idx="3">
                  <c:v>116.26</c:v>
                </c:pt>
                <c:pt idx="4">
                  <c:v>194.66</c:v>
                </c:pt>
                <c:pt idx="5">
                  <c:v>4675.5600000000004</c:v>
                </c:pt>
                <c:pt idx="6">
                  <c:v>167.86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95-4861-9F57-1570C491FD89}"/>
            </c:ext>
          </c:extLst>
        </c:ser>
        <c:ser>
          <c:idx val="2"/>
          <c:order val="2"/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976406645667343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495-4861-9F57-1570C491FD89}"/>
                </c:ext>
              </c:extLst>
            </c:dLbl>
            <c:dLbl>
              <c:idx val="1"/>
              <c:layout>
                <c:manualLayout>
                  <c:x val="2.470508307084182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495-4861-9F57-1570C491FD89}"/>
                </c:ext>
              </c:extLst>
            </c:dLbl>
            <c:dLbl>
              <c:idx val="2"/>
              <c:layout>
                <c:manualLayout>
                  <c:x val="2.3469828917299734E-2"/>
                  <c:y val="-9.48766603415559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95-4861-9F57-1570C491FD89}"/>
                </c:ext>
              </c:extLst>
            </c:dLbl>
            <c:dLbl>
              <c:idx val="3"/>
              <c:layout>
                <c:manualLayout>
                  <c:x val="2.2234574763757554E-2"/>
                  <c:y val="-3.16255534471853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495-4861-9F57-1570C491FD89}"/>
                </c:ext>
              </c:extLst>
            </c:dLbl>
            <c:dLbl>
              <c:idx val="4"/>
              <c:layout>
                <c:manualLayout>
                  <c:x val="2.346982891729973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495-4861-9F57-1570C491FD89}"/>
                </c:ext>
              </c:extLst>
            </c:dLbl>
            <c:dLbl>
              <c:idx val="5"/>
              <c:layout>
                <c:manualLayout>
                  <c:x val="2.964609968501019E-2"/>
                  <c:y val="-3.16255534471853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495-4861-9F57-1570C491FD89}"/>
                </c:ext>
              </c:extLst>
            </c:dLbl>
            <c:dLbl>
              <c:idx val="6"/>
              <c:layout>
                <c:manualLayout>
                  <c:x val="2.964609968501019E-2"/>
                  <c:y val="-3.16255534471853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95-4861-9F57-1570C491FD89}"/>
                </c:ext>
              </c:extLst>
            </c:dLbl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'linha do tempo'!$A$2:$A$8</c:f>
              <c:strCache>
                <c:ptCount val="7"/>
                <c:pt idx="0">
                  <c:v>DESPACHOS ENCOMENDAS E CARGAS LOGISTICA LTDA</c:v>
                </c:pt>
                <c:pt idx="1">
                  <c:v>DU PRATA ALIMENTOS LTDA - FORN: DU PRATA ALIMENTOS </c:v>
                </c:pt>
                <c:pt idx="2">
                  <c:v>FORT TAPE INDUSTRIA E COMERCIO DE MATERIAIS ADESIVOS LTDA </c:v>
                </c:pt>
                <c:pt idx="3">
                  <c:v>FWSG COMERCIO E SERVICOS LTDA - ME - CONSULTORIA </c:v>
                </c:pt>
                <c:pt idx="4">
                  <c:v>GROSS PACK INDUSTRIA E COMERCIO LTDA</c:v>
                </c:pt>
                <c:pt idx="5">
                  <c:v>JM CONFECCOES EIRELI</c:v>
                </c:pt>
                <c:pt idx="6">
                  <c:v>PICCI GRAF COMERCIO DE ETIQUETAS EIRELI </c:v>
                </c:pt>
              </c:strCache>
            </c:strRef>
          </c:cat>
          <c:val>
            <c:numRef>
              <c:f>'linha do tempo'!$D$2:$D$8</c:f>
              <c:numCache>
                <c:formatCode>0.0%</c:formatCode>
                <c:ptCount val="7"/>
                <c:pt idx="0">
                  <c:v>8.2005457748631147E-3</c:v>
                </c:pt>
                <c:pt idx="1">
                  <c:v>4.712041884816754E-2</c:v>
                </c:pt>
                <c:pt idx="2">
                  <c:v>6.0572586579791608E-2</c:v>
                </c:pt>
                <c:pt idx="3">
                  <c:v>2.1594653530816868E-2</c:v>
                </c:pt>
                <c:pt idx="4">
                  <c:v>1.7312575318952136E-2</c:v>
                </c:pt>
                <c:pt idx="5">
                  <c:v>4.262038291946834E-2</c:v>
                </c:pt>
                <c:pt idx="6">
                  <c:v>3.0519722547976837E-2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95-4861-9F57-1570C491FD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15518783"/>
        <c:axId val="1715519263"/>
        <c:axId val="0"/>
      </c:bar3DChart>
      <c:catAx>
        <c:axId val="1715518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5519263"/>
        <c:crosses val="autoZero"/>
        <c:auto val="1"/>
        <c:lblAlgn val="ctr"/>
        <c:lblOffset val="100"/>
        <c:noMultiLvlLbl val="0"/>
      </c:catAx>
      <c:valAx>
        <c:axId val="171551926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15518783"/>
        <c:crosses val="autoZero"/>
        <c:crossBetween val="between"/>
      </c:valAx>
      <c:spPr>
        <a:noFill/>
        <a:ln>
          <a:noFill/>
        </a:ln>
        <a:effectLst>
          <a:innerShdw blurRad="63500" dist="50800" dir="13500000">
            <a:srgbClr val="FFFF00">
              <a:alpha val="50000"/>
            </a:srgbClr>
          </a:inn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13</xdr:row>
      <xdr:rowOff>115251</xdr:rowOff>
    </xdr:from>
    <xdr:to>
      <xdr:col>18</xdr:col>
      <xdr:colOff>331470</xdr:colOff>
      <xdr:row>34</xdr:row>
      <xdr:rowOff>78105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239CD25-79B6-7AE7-B749-32F2617D4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53340</xdr:colOff>
      <xdr:row>26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BB82E6-1261-CD9E-F392-3A9029981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errinha68" refreshedDate="46297.453520254632" createdVersion="8" refreshedVersion="8" minRefreshableVersion="3" recordCount="115" xr:uid="{5E4BBC87-83C7-4098-86BE-C7579885E474}">
  <cacheSource type="worksheet">
    <worksheetSource name="Tabela1[[Mês]:[Ganha por %]]"/>
  </cacheSource>
  <cacheFields count="4">
    <cacheField name="Mês" numFmtId="14">
      <sharedItems count="9">
        <s v="Janeiro"/>
        <s v="Fevereiro"/>
        <s v="Março"/>
        <s v="Abril"/>
        <s v="Maio"/>
        <s v="Junho"/>
        <s v="Julho"/>
        <s v="Agosto"/>
        <s v="Agpsto"/>
      </sharedItems>
    </cacheField>
    <cacheField name="Valor líquido" numFmtId="165">
      <sharedItems containsSemiMixedTypes="0" containsString="0" containsNumber="1" minValue="64.680000000000007" maxValue="108896.46"/>
    </cacheField>
    <cacheField name="Desconto Financeiro" numFmtId="165">
      <sharedItems containsSemiMixedTypes="0" containsString="0" containsNumber="1" minValue="1.29" maxValue="3207.6"/>
    </cacheField>
    <cacheField name="Ganha por %" numFmtId="10">
      <sharedItems containsSemiMixedTypes="0" containsString="0" containsNumber="1" minValue="1.3098800431168847E-3" maxValue="9.732194542333980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errinha68" refreshedDate="46297.46620023148" createdVersion="8" refreshedVersion="8" minRefreshableVersion="3" recordCount="129" xr:uid="{40DCFBB4-BCE6-447B-8E94-DDE8F3337F4A}">
  <cacheSource type="worksheet">
    <worksheetSource name="Tabela1"/>
  </cacheSource>
  <cacheFields count="8">
    <cacheField name="L.P" numFmtId="0">
      <sharedItems containsSemiMixedTypes="0" containsString="0" containsNumber="1" containsInteger="1" minValue="1" maxValue="14"/>
    </cacheField>
    <cacheField name="Duplicata" numFmtId="0">
      <sharedItems containsSemiMixedTypes="0" containsString="0" containsNumber="1" containsInteger="1" minValue="1281925" maxValue="1611752"/>
    </cacheField>
    <cacheField name="Favorecido" numFmtId="0">
      <sharedItems count="30">
        <s v="FORT TAPE INDUSTRIA E COMERCIO DE MATERIAIS ADESIVOS LTDA "/>
        <s v="JM CONFECCOES EIRELI"/>
        <s v="FWSG COMERCIO E SERVICOS LTDA - ME - CONSULTORIA "/>
        <s v="PICCI GRAF COMERCIO DE ETIQUETAS EIRELI "/>
        <s v="DESPACHOS ENCOMENDAS E CARGAS LOGISTICA LTDA"/>
        <s v="DU PRATA ALIMENTOS LTDA - FORN: DU PRATA ALIMENTOS "/>
        <s v="GROSS PACK INDUSTRIA E COMERCIO LTDA"/>
        <s v="JNBM - CONDIMENTOS E ESPECIARIAS LTDA"/>
        <s v="FLAVIA MEDEIROS SILVA - SERVICOS LOGISTICOS "/>
        <s v="LOGUBER GESTAO EM TRANSPORTES LTDA "/>
        <s v=" FLAVIA MEDEIROS SILVA - SERVICOS LOGISTICOS " u="1"/>
        <s v="JM CONFECCOES EIRELI " u="1"/>
        <s v="GROSS PACK INDUSTRIA E COMERCIO LTDA " u="1"/>
        <s v="175177 - DESPACHOS ENCOMENDAS E CARGAS LOGISTICA LTDA - DESPESAS DE CORRESPONDENCIA - Nº 152" u="1"/>
        <s v="GROSS PACK INDUSTRIA E COMERCIO LTDA - INSTALACAO " u="1"/>
        <s v="DESPACHOS ENCOMENDAS E CARGAS LOGISTICA LTDA - DESPESAS DE CORRESPONDENCIA" u="1"/>
        <s v=" JM CONFECCOES EIRELI" u="1"/>
        <s v="110413 - JM CONFECCOES EIRELI" u="1"/>
        <s v="110413 - JM CONFECCOES EIRELI " u="1"/>
        <s v="173334 - FORT TAPE INDUSTRIA E COMERCIO DE MATERIAIS ADESIVOS LTDA " u="1"/>
        <s v="175177 - DESPACHOS ENCOMENDAS E CARGAS LOGISTICA LTDA - DESPESAS DE CORRESPONDENCIA" u="1"/>
        <s v="110413 - JM CONFECCOES EIRELI - Notas Fiscais: 699-1" u="1"/>
        <s v="110413 - JM CONFECCOES EIRELI - Notas Fiscais: 701-1" u="1"/>
        <s v="110413 - JM CONFECCOES EIRELI - Notas Fiscais: 700-1" u="1"/>
        <s v="173334 - FORT TAPE INDUSTRIA E COMERCIO DE MATERIAIS ADESIVOS LTDA - FORN: FORT TAPE INDUSTRIA - NF: 232-1 - COF: 1.556 - LJ: 1" u="1"/>
        <s v="173334 - FORT TAPE INDUSTRIA E COMERCIO DE MATERIAIS ADESIVOS LTDA - FORN: FORT TAPE INDUSTRIA - NF: 235-1 - COF: 1.556 - LJ: 14" u="1"/>
        <s v="110413 - JM CONFECCOES EIRELI - FORN: JM CONFECCOES - COMPANY UNIFORMES - NF: 709-1 - COF: 1.556 - LJ: 14" u="1"/>
        <s v="110413 - JM CONFECCOES EIRELI - FORN: JM CONFECCOES - COMPANY UNIFORMES - NF: 708-1 - COF: 1.556 - LJ: 14" u="1"/>
        <s v="110413 - JM CONFECCOES EIRELI - FORN: JM CONFECCOES - COMPANY UNIFORMES - NF: 710-1 - COF: 1.556 - LJ: 1" u="1"/>
        <s v="175177 - DESPACHOS ENCOMENDAS E CARGAS LOGISTICA LTDA - DESPESAS DE CORRESPONDENCIA - Nº 142" u="1"/>
      </sharedItems>
    </cacheField>
    <cacheField name="Vencimento" numFmtId="14">
      <sharedItems containsSemiMixedTypes="0" containsNonDate="0" containsDate="1" containsString="0" minDate="2026-01-05T00:00:00" maxDate="2026-10-01T00:00:00"/>
    </cacheField>
    <cacheField name="Mês" numFmtId="14">
      <sharedItems count="10">
        <s v="Janeiro"/>
        <s v="Fevereiro"/>
        <s v="Março"/>
        <s v="Abril"/>
        <s v="Maio"/>
        <s v="Junho"/>
        <s v="Julho"/>
        <s v="Agosto"/>
        <s v="Agpsto"/>
        <s v="Setembro"/>
      </sharedItems>
    </cacheField>
    <cacheField name="Valor líquido" numFmtId="165">
      <sharedItems containsSemiMixedTypes="0" containsString="0" containsNumber="1" minValue="64.680000000000007" maxValue="112933.07"/>
    </cacheField>
    <cacheField name="Desconto Financeiro" numFmtId="165">
      <sharedItems containsSemiMixedTypes="0" containsString="0" containsNumber="1" minValue="1.29" maxValue="8181.49"/>
    </cacheField>
    <cacheField name="Ganha por %" numFmtId="10">
      <sharedItems containsSemiMixedTypes="0" containsString="0" containsNumber="1" minValue="1.3098800431168847E-3" maxValue="9.732194542333980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n v="9724.93"/>
    <n v="412.67"/>
    <n v="4.2434238601203302E-2"/>
  </r>
  <r>
    <x v="0"/>
    <n v="6127.05"/>
    <n v="197.95"/>
    <n v="3.2307554206347261E-2"/>
  </r>
  <r>
    <x v="0"/>
    <n v="5383.74"/>
    <n v="116.26"/>
    <n v="2.1594653530816868E-2"/>
  </r>
  <r>
    <x v="0"/>
    <n v="2625"/>
    <n v="35"/>
    <n v="1.3333333333333334E-2"/>
  </r>
  <r>
    <x v="0"/>
    <n v="16670.2"/>
    <n v="755.8"/>
    <n v="4.5338388261688518E-2"/>
  </r>
  <r>
    <x v="0"/>
    <n v="1827.75"/>
    <n v="68.25"/>
    <n v="3.7340993024210095E-2"/>
  </r>
  <r>
    <x v="0"/>
    <n v="3672.3"/>
    <n v="99.61"/>
    <n v="2.7124690248618032E-2"/>
  </r>
  <r>
    <x v="0"/>
    <n v="23546.63"/>
    <n v="1181.3699999999999"/>
    <n v="5.0171510742726237E-2"/>
  </r>
  <r>
    <x v="0"/>
    <n v="2668.7"/>
    <n v="147.30000000000001"/>
    <n v="5.5195413497208384E-2"/>
  </r>
  <r>
    <x v="0"/>
    <n v="2590.19"/>
    <n v="225.81"/>
    <n v="8.7178932819600111E-2"/>
  </r>
  <r>
    <x v="0"/>
    <n v="4577.3500000000004"/>
    <n v="252.65"/>
    <n v="5.51956918304259E-2"/>
  </r>
  <r>
    <x v="0"/>
    <n v="4442.7"/>
    <n v="387.3"/>
    <n v="8.7176716861368089E-2"/>
  </r>
  <r>
    <x v="0"/>
    <n v="30313.31"/>
    <n v="445.54"/>
    <n v="1.4697834053753946E-2"/>
  </r>
  <r>
    <x v="1"/>
    <n v="8960.08"/>
    <n v="448.92"/>
    <n v="5.0102231230078308E-2"/>
  </r>
  <r>
    <x v="1"/>
    <n v="11135.59"/>
    <n v="524.41"/>
    <n v="4.7093149083254675E-2"/>
  </r>
  <r>
    <x v="1"/>
    <n v="12128.8"/>
    <n v="571.20000000000005"/>
    <n v="4.7094518831211671E-2"/>
  </r>
  <r>
    <x v="1"/>
    <n v="68072.399999999994"/>
    <n v="3207.6"/>
    <n v="4.712041884816754E-2"/>
  </r>
  <r>
    <x v="1"/>
    <n v="2645.36"/>
    <n v="170.64"/>
    <n v="6.4505398131067218E-2"/>
  </r>
  <r>
    <x v="1"/>
    <n v="4537.32"/>
    <n v="292.68"/>
    <n v="6.4505038216392058E-2"/>
  </r>
  <r>
    <x v="1"/>
    <n v="1594.38"/>
    <n v="25.62"/>
    <n v="1.6068942159334663E-2"/>
  </r>
  <r>
    <x v="1"/>
    <n v="1718.39"/>
    <n v="27.61"/>
    <n v="1.6067365382712886E-2"/>
  </r>
  <r>
    <x v="1"/>
    <n v="1997.9"/>
    <n v="32.1"/>
    <n v="1.606687021372441E-2"/>
  </r>
  <r>
    <x v="1"/>
    <n v="1970.77"/>
    <n v="59.23"/>
    <n v="3.0054242757906805E-2"/>
  </r>
  <r>
    <x v="1"/>
    <n v="7857.13"/>
    <n v="126.23"/>
    <n v="1.6065662652902522E-2"/>
  </r>
  <r>
    <x v="1"/>
    <n v="28582.77"/>
    <n v="37.44"/>
    <n v="1.3098800431168847E-3"/>
  </r>
  <r>
    <x v="2"/>
    <n v="3386.72"/>
    <n v="68.430000000000007"/>
    <n v="2.0205390466291873E-2"/>
  </r>
  <r>
    <x v="2"/>
    <n v="3791.56"/>
    <n v="71.44"/>
    <n v="1.8841848737722731E-2"/>
  </r>
  <r>
    <x v="2"/>
    <n v="4104.78"/>
    <n v="109.22"/>
    <n v="2.6608003352189401E-2"/>
  </r>
  <r>
    <x v="2"/>
    <n v="5475.02"/>
    <n v="235.98"/>
    <n v="4.31012124156624E-2"/>
  </r>
  <r>
    <x v="2"/>
    <n v="7856.29"/>
    <n v="399.71"/>
    <n v="5.0877704361727991E-2"/>
  </r>
  <r>
    <x v="3"/>
    <n v="2138.2399999999998"/>
    <n v="8.44"/>
    <n v="3.9471715055372641E-3"/>
  </r>
  <r>
    <x v="3"/>
    <n v="5048.8999999999996"/>
    <n v="19.920000000000002"/>
    <n v="3.9454138525223323E-3"/>
  </r>
  <r>
    <x v="3"/>
    <n v="2098.4299999999998"/>
    <n v="48.23"/>
    <n v="2.2983849830587631E-2"/>
  </r>
  <r>
    <x v="3"/>
    <n v="2385.6799999999998"/>
    <n v="54.85"/>
    <n v="2.2991348378659335E-2"/>
  </r>
  <r>
    <x v="3"/>
    <n v="4954.87"/>
    <n v="113.92"/>
    <n v="2.2991521472813616E-2"/>
  </r>
  <r>
    <x v="3"/>
    <n v="4886.67"/>
    <n v="182.12"/>
    <n v="3.7268733104547681E-2"/>
  </r>
  <r>
    <x v="3"/>
    <n v="25905.54"/>
    <n v="416.2"/>
    <n v="1.6066061545136675E-2"/>
  </r>
  <r>
    <x v="3"/>
    <n v="14636.05"/>
    <n v="733.43"/>
    <n v="5.0111198034988945E-2"/>
  </r>
  <r>
    <x v="3"/>
    <n v="6761.54"/>
    <n v="288.45999999999998"/>
    <n v="4.2661878802757951E-2"/>
  </r>
  <r>
    <x v="4"/>
    <n v="39088.14"/>
    <n v="310.26"/>
    <n v="7.9374459874529714E-3"/>
  </r>
  <r>
    <x v="4"/>
    <n v="3217.69"/>
    <n v="269.81"/>
    <n v="8.385208021903913E-2"/>
  </r>
  <r>
    <x v="4"/>
    <n v="3413.78"/>
    <n v="73.72"/>
    <n v="2.1594830363995336E-2"/>
  </r>
  <r>
    <x v="4"/>
    <n v="3362.2"/>
    <n v="125.3"/>
    <n v="3.7267265480935105E-2"/>
  </r>
  <r>
    <x v="4"/>
    <n v="3266.49"/>
    <n v="221.01"/>
    <n v="6.7659781600433497E-2"/>
  </r>
  <r>
    <x v="4"/>
    <n v="4616.3100000000004"/>
    <n v="99.69"/>
    <n v="2.1595170168381236E-2"/>
  </r>
  <r>
    <x v="4"/>
    <n v="4546.5600000000004"/>
    <n v="169.44"/>
    <n v="3.7267736486486486E-2"/>
  </r>
  <r>
    <x v="4"/>
    <n v="4417.13"/>
    <n v="298.87"/>
    <n v="6.7661581162428999E-2"/>
  </r>
  <r>
    <x v="4"/>
    <n v="4351.1400000000003"/>
    <n v="364.86"/>
    <n v="8.3853886567658131E-2"/>
  </r>
  <r>
    <x v="4"/>
    <n v="29213.15"/>
    <n v="836.43"/>
    <n v="2.8631968822259834E-2"/>
  </r>
  <r>
    <x v="5"/>
    <n v="16040.21"/>
    <n v="597.79"/>
    <n v="3.7268215316383017E-2"/>
  </r>
  <r>
    <x v="5"/>
    <n v="459.84"/>
    <n v="4.2699999999999996"/>
    <n v="9.2858385525400131E-3"/>
  </r>
  <r>
    <x v="5"/>
    <n v="447.45"/>
    <n v="16.68"/>
    <n v="3.7277908146161581E-2"/>
  </r>
  <r>
    <x v="5"/>
    <n v="441.13"/>
    <n v="23"/>
    <n v="5.2138825289597172E-2"/>
  </r>
  <r>
    <x v="5"/>
    <n v="428.22"/>
    <n v="35.909999999999997"/>
    <n v="8.3858764186633031E-2"/>
  </r>
  <r>
    <x v="5"/>
    <n v="673.75"/>
    <n v="6.25"/>
    <n v="9.2764378478664197E-3"/>
  </r>
  <r>
    <x v="5"/>
    <n v="1030.44"/>
    <n v="9.56"/>
    <n v="9.2775901556616594E-3"/>
  </r>
  <r>
    <x v="5"/>
    <n v="43280.81"/>
    <n v="401.59"/>
    <n v="9.2787080463605006E-3"/>
  </r>
  <r>
    <x v="6"/>
    <n v="68938.86"/>
    <n v="1584.94"/>
    <n v="2.2990516524352158E-2"/>
  </r>
  <r>
    <x v="5"/>
    <n v="614.69000000000005"/>
    <n v="4.0599999999999996"/>
    <n v="6.6049553433437979E-3"/>
  </r>
  <r>
    <x v="5"/>
    <n v="598.19000000000005"/>
    <n v="20.56"/>
    <n v="3.4370350557515167E-2"/>
  </r>
  <r>
    <x v="5"/>
    <n v="589.78"/>
    <n v="28.97"/>
    <n v="4.9120010851503949E-2"/>
  </r>
  <r>
    <x v="5"/>
    <n v="571.75"/>
    <n v="47"/>
    <n v="8.2203760384783553E-2"/>
  </r>
  <r>
    <x v="5"/>
    <n v="1610.62"/>
    <n v="10.63"/>
    <n v="6.5999428791397108E-3"/>
  </r>
  <r>
    <x v="5"/>
    <n v="1567.39"/>
    <n v="53.86"/>
    <n v="3.4362857999604438E-2"/>
  </r>
  <r>
    <x v="5"/>
    <n v="1545.34"/>
    <n v="75.91"/>
    <n v="4.91218760919927E-2"/>
  </r>
  <r>
    <x v="5"/>
    <n v="1498.1"/>
    <n v="123.15"/>
    <n v="8.2204125225285377E-2"/>
  </r>
  <r>
    <x v="5"/>
    <n v="45138.33"/>
    <n v="1271.67"/>
    <n v="2.8172730360206059E-2"/>
  </r>
  <r>
    <x v="5"/>
    <n v="34799"/>
    <n v="654.89"/>
    <n v="1.8819218943073077E-2"/>
  </r>
  <r>
    <x v="5"/>
    <n v="7710.25"/>
    <n v="409.75"/>
    <n v="5.3143542686683309E-2"/>
  </r>
  <r>
    <x v="5"/>
    <n v="984.67"/>
    <n v="95.83"/>
    <n v="9.7321945423339801E-2"/>
  </r>
  <r>
    <x v="5"/>
    <n v="1060.54"/>
    <n v="19.96"/>
    <n v="1.8820600825994308E-2"/>
  </r>
  <r>
    <x v="5"/>
    <n v="1031.3900000000001"/>
    <n v="49.11"/>
    <n v="4.7615354036785303E-2"/>
  </r>
  <r>
    <x v="5"/>
    <n v="1015.03"/>
    <n v="65.47"/>
    <n v="6.4500556633794073E-2"/>
  </r>
  <r>
    <x v="5"/>
    <n v="2975.01"/>
    <n v="141.66"/>
    <n v="4.7616646666733889E-2"/>
  </r>
  <r>
    <x v="5"/>
    <n v="3054.25"/>
    <n v="145.43"/>
    <n v="4.761561758205779E-2"/>
  </r>
  <r>
    <x v="5"/>
    <n v="3961.15"/>
    <n v="255.51"/>
    <n v="6.4503995051941987E-2"/>
  </r>
  <r>
    <x v="5"/>
    <n v="4025.01"/>
    <n v="191.66"/>
    <n v="4.7617273000563967E-2"/>
  </r>
  <r>
    <x v="5"/>
    <n v="4715.46"/>
    <n v="224.54"/>
    <n v="4.7617835799688681E-2"/>
  </r>
  <r>
    <x v="6"/>
    <n v="5946.3"/>
    <n v="103.7"/>
    <n v="1.7439416107495418E-2"/>
  </r>
  <r>
    <x v="6"/>
    <n v="5865.32"/>
    <n v="184.68"/>
    <n v="3.1486773100188908E-2"/>
  </r>
  <r>
    <x v="6"/>
    <n v="5691.78"/>
    <n v="358.22"/>
    <n v="6.2936374912593254E-2"/>
  </r>
  <r>
    <x v="6"/>
    <n v="5607.45"/>
    <n v="442.55"/>
    <n v="7.8921791545176506E-2"/>
  </r>
  <r>
    <x v="6"/>
    <n v="68.709999999999994"/>
    <n v="1.29"/>
    <n v="1.877455974385097E-2"/>
  </r>
  <r>
    <x v="6"/>
    <n v="67.67"/>
    <n v="2.33"/>
    <n v="3.4431801389094137E-2"/>
  </r>
  <r>
    <x v="6"/>
    <n v="65.760000000000005"/>
    <n v="4.24"/>
    <n v="6.4476885644768861E-2"/>
  </r>
  <r>
    <x v="6"/>
    <n v="64.680000000000007"/>
    <n v="5.32"/>
    <n v="8.2251082251082241E-2"/>
  </r>
  <r>
    <x v="6"/>
    <n v="736.15"/>
    <n v="13.85"/>
    <n v="1.8814100387149358E-2"/>
  </r>
  <r>
    <x v="6"/>
    <n v="725.08"/>
    <n v="24.92"/>
    <n v="3.4368621393501407E-2"/>
  </r>
  <r>
    <x v="6"/>
    <n v="704.55"/>
    <n v="45.45"/>
    <n v="6.4509261230572712E-2"/>
  </r>
  <r>
    <x v="6"/>
    <n v="693.03"/>
    <n v="56.97"/>
    <n v="8.2204233582961778E-2"/>
  </r>
  <r>
    <x v="6"/>
    <n v="2880.79"/>
    <n v="54.21"/>
    <n v="1.881775485196769E-2"/>
  </r>
  <r>
    <x v="6"/>
    <n v="2837.49"/>
    <n v="97.51"/>
    <n v="3.4364878818956196E-2"/>
  </r>
  <r>
    <x v="6"/>
    <n v="2757.15"/>
    <n v="177.85"/>
    <n v="6.4505014235714406E-2"/>
  </r>
  <r>
    <x v="6"/>
    <n v="2712.06"/>
    <n v="222.94"/>
    <n v="8.2203196094481693E-2"/>
  </r>
  <r>
    <x v="6"/>
    <n v="25302.34"/>
    <n v="337.4"/>
    <n v="1.3334735048220836E-2"/>
  </r>
  <r>
    <x v="6"/>
    <n v="24926.06"/>
    <n v="713.68"/>
    <n v="2.8631881653177434E-2"/>
  </r>
  <r>
    <x v="6"/>
    <n v="3452.3"/>
    <n v="162.69999999999999"/>
    <n v="4.7128001622106994E-2"/>
  </r>
  <r>
    <x v="6"/>
    <n v="9031.58"/>
    <n v="568.41999999999996"/>
    <n v="6.2936939051638802E-2"/>
  </r>
  <r>
    <x v="6"/>
    <n v="1917.92"/>
    <n v="25.58"/>
    <n v="1.3337365479269206E-2"/>
  </r>
  <r>
    <x v="6"/>
    <n v="1917.92"/>
    <n v="25.58"/>
    <n v="1.3337365479269206E-2"/>
  </r>
  <r>
    <x v="6"/>
    <n v="3112.99"/>
    <n v="281.81"/>
    <n v="9.0527113803770654E-2"/>
  </r>
  <r>
    <x v="7"/>
    <n v="19206.62"/>
    <n v="604.76"/>
    <n v="3.1487060190705081E-2"/>
  </r>
  <r>
    <x v="7"/>
    <n v="28327.01"/>
    <n v="494.02"/>
    <n v="1.743989217358274E-2"/>
  </r>
  <r>
    <x v="8"/>
    <n v="661.87"/>
    <n v="10.63"/>
    <n v="1.60605556982489E-2"/>
  </r>
  <r>
    <x v="8"/>
    <n v="651.97"/>
    <n v="20.53"/>
    <n v="3.1489178949951686E-2"/>
  </r>
  <r>
    <x v="8"/>
    <n v="633.61"/>
    <n v="38.89"/>
    <n v="6.1378450466375217E-2"/>
  </r>
  <r>
    <x v="8"/>
    <n v="1742.01"/>
    <n v="27.99"/>
    <n v="1.6067645995143539E-2"/>
  </r>
  <r>
    <x v="8"/>
    <n v="3025.81"/>
    <n v="139.19"/>
    <n v="4.6000905542648088E-2"/>
  </r>
  <r>
    <x v="8"/>
    <n v="4326"/>
    <n v="199"/>
    <n v="4.6000924641701343E-2"/>
  </r>
  <r>
    <x v="7"/>
    <n v="37643.589999999997"/>
    <n v="98.81"/>
    <n v="2.6248824833125643E-3"/>
  </r>
  <r>
    <x v="7"/>
    <n v="108896.46"/>
    <n v="1749.54"/>
    <n v="1.6066086996767388E-2"/>
  </r>
  <r>
    <x v="7"/>
    <n v="29137.15"/>
    <n v="2110.85"/>
    <n v="7.2445314658434332E-2"/>
  </r>
  <r>
    <x v="7"/>
    <n v="731.65"/>
    <n v="33.35"/>
    <n v="4.5581903915806743E-2"/>
  </r>
  <r>
    <x v="7"/>
    <n v="3121.87"/>
    <n v="178.13"/>
    <n v="5.7058750044044114E-2"/>
  </r>
  <r>
    <x v="7"/>
    <n v="5714.59"/>
    <n v="260.41000000000003"/>
    <n v="4.556932343352716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1"/>
    <n v="1281925"/>
    <x v="0"/>
    <d v="2026-01-05T00:00:00"/>
    <x v="0"/>
    <n v="9724.93"/>
    <n v="412.67"/>
    <n v="4.2434238601203302E-2"/>
  </r>
  <r>
    <n v="1"/>
    <n v="1283794"/>
    <x v="1"/>
    <d v="2026-01-07T00:00:00"/>
    <x v="0"/>
    <n v="6127.05"/>
    <n v="197.95"/>
    <n v="3.2307554206347261E-2"/>
  </r>
  <r>
    <n v="1"/>
    <n v="1288780"/>
    <x v="2"/>
    <d v="2026-01-14T00:00:00"/>
    <x v="0"/>
    <n v="5383.74"/>
    <n v="116.26"/>
    <n v="2.1594653530816868E-2"/>
  </r>
  <r>
    <n v="1"/>
    <n v="1292830"/>
    <x v="1"/>
    <d v="2026-01-20T00:00:00"/>
    <x v="0"/>
    <n v="2625"/>
    <n v="35"/>
    <n v="1.3333333333333334E-2"/>
  </r>
  <r>
    <n v="1"/>
    <n v="1294234"/>
    <x v="1"/>
    <d v="2026-01-20T00:00:00"/>
    <x v="0"/>
    <n v="16670.2"/>
    <n v="755.8"/>
    <n v="4.5338388261688518E-2"/>
  </r>
  <r>
    <n v="1"/>
    <n v="1295218"/>
    <x v="3"/>
    <d v="2026-01-23T00:00:00"/>
    <x v="0"/>
    <n v="1827.75"/>
    <n v="68.25"/>
    <n v="3.7340993024210095E-2"/>
  </r>
  <r>
    <n v="10"/>
    <n v="1295216"/>
    <x v="3"/>
    <d v="2026-01-23T00:00:00"/>
    <x v="0"/>
    <n v="3672.3"/>
    <n v="99.61"/>
    <n v="2.7124690248618032E-2"/>
  </r>
  <r>
    <n v="1"/>
    <n v="1304671"/>
    <x v="1"/>
    <d v="2026-01-29T00:00:00"/>
    <x v="0"/>
    <n v="23546.63"/>
    <n v="1181.3699999999999"/>
    <n v="5.0171510742726237E-2"/>
  </r>
  <r>
    <n v="1"/>
    <n v="1296353"/>
    <x v="0"/>
    <d v="2026-01-30T00:00:00"/>
    <x v="0"/>
    <n v="2668.7"/>
    <n v="147.30000000000001"/>
    <n v="5.5195413497208384E-2"/>
  </r>
  <r>
    <n v="1"/>
    <n v="1296354"/>
    <x v="0"/>
    <d v="2026-01-30T00:00:00"/>
    <x v="0"/>
    <n v="2590.19"/>
    <n v="225.81"/>
    <n v="8.7178932819600111E-2"/>
  </r>
  <r>
    <n v="1"/>
    <n v="1304073"/>
    <x v="0"/>
    <d v="2026-01-30T00:00:00"/>
    <x v="0"/>
    <n v="4577.3500000000004"/>
    <n v="252.65"/>
    <n v="5.51956918304259E-2"/>
  </r>
  <r>
    <n v="1"/>
    <n v="1304074"/>
    <x v="0"/>
    <d v="2026-01-30T00:00:00"/>
    <x v="0"/>
    <n v="4442.7"/>
    <n v="387.3"/>
    <n v="8.7176716861368089E-2"/>
  </r>
  <r>
    <n v="1"/>
    <n v="1306486"/>
    <x v="4"/>
    <d v="2026-01-30T00:00:00"/>
    <x v="0"/>
    <n v="30313.31"/>
    <n v="445.54"/>
    <n v="1.4697834053753946E-2"/>
  </r>
  <r>
    <n v="1"/>
    <n v="1310301"/>
    <x v="1"/>
    <d v="2026-02-03T00:00:00"/>
    <x v="1"/>
    <n v="8960.08"/>
    <n v="448.92"/>
    <n v="5.0102231230078308E-2"/>
  </r>
  <r>
    <n v="1"/>
    <n v="1314258"/>
    <x v="1"/>
    <d v="2026-02-05T00:00:00"/>
    <x v="1"/>
    <n v="11135.59"/>
    <n v="524.41"/>
    <n v="4.7093149083254675E-2"/>
  </r>
  <r>
    <n v="1"/>
    <n v="1314257"/>
    <x v="1"/>
    <d v="2026-02-05T00:00:00"/>
    <x v="1"/>
    <n v="12128.8"/>
    <n v="571.20000000000005"/>
    <n v="4.7094518831211671E-2"/>
  </r>
  <r>
    <n v="1"/>
    <n v="1319177"/>
    <x v="5"/>
    <d v="2026-02-10T00:00:00"/>
    <x v="1"/>
    <n v="68072.399999999994"/>
    <n v="3207.6"/>
    <n v="4.712041884816754E-2"/>
  </r>
  <r>
    <n v="1"/>
    <n v="1296355"/>
    <x v="0"/>
    <d v="2026-02-24T00:00:00"/>
    <x v="1"/>
    <n v="2645.36"/>
    <n v="170.64"/>
    <n v="6.4505398131067218E-2"/>
  </r>
  <r>
    <n v="1"/>
    <n v="1304075"/>
    <x v="0"/>
    <d v="2026-02-24T00:00:00"/>
    <x v="1"/>
    <n v="4537.32"/>
    <n v="292.68"/>
    <n v="6.4505038216392058E-2"/>
  </r>
  <r>
    <n v="1"/>
    <n v="1329476"/>
    <x v="1"/>
    <d v="2026-02-26T00:00:00"/>
    <x v="1"/>
    <n v="1594.38"/>
    <n v="25.62"/>
    <n v="1.6068942159334663E-2"/>
  </r>
  <r>
    <n v="1"/>
    <n v="1329470"/>
    <x v="1"/>
    <d v="2026-02-26T00:00:00"/>
    <x v="1"/>
    <n v="1718.39"/>
    <n v="27.61"/>
    <n v="1.6067365382712886E-2"/>
  </r>
  <r>
    <n v="1"/>
    <n v="1328866"/>
    <x v="1"/>
    <d v="2026-02-26T00:00:00"/>
    <x v="1"/>
    <n v="1997.9"/>
    <n v="32.1"/>
    <n v="1.606687021372441E-2"/>
  </r>
  <r>
    <n v="1"/>
    <n v="1328867"/>
    <x v="1"/>
    <d v="2026-02-26T00:00:00"/>
    <x v="1"/>
    <n v="1970.77"/>
    <n v="59.23"/>
    <n v="3.0054242757906805E-2"/>
  </r>
  <r>
    <n v="1"/>
    <n v="1320281"/>
    <x v="6"/>
    <d v="2026-02-26T00:00:00"/>
    <x v="1"/>
    <n v="7857.13"/>
    <n v="126.23"/>
    <n v="1.6065662652902522E-2"/>
  </r>
  <r>
    <n v="1"/>
    <n v="1330550"/>
    <x v="4"/>
    <d v="2026-02-27T00:00:00"/>
    <x v="1"/>
    <n v="28582.77"/>
    <n v="37.44"/>
    <n v="1.3098800431168847E-3"/>
  </r>
  <r>
    <n v="1"/>
    <n v="1338413"/>
    <x v="6"/>
    <d v="2026-03-05T00:00:00"/>
    <x v="2"/>
    <n v="3386.72"/>
    <n v="68.430000000000007"/>
    <n v="2.0205390466291873E-2"/>
  </r>
  <r>
    <n v="1"/>
    <n v="1350137"/>
    <x v="1"/>
    <d v="2026-03-11T00:00:00"/>
    <x v="2"/>
    <n v="3791.56"/>
    <n v="71.44"/>
    <n v="1.8841848737722731E-2"/>
  </r>
  <r>
    <n v="1"/>
    <n v="1350138"/>
    <x v="1"/>
    <d v="2026-03-11T00:00:00"/>
    <x v="2"/>
    <n v="4104.78"/>
    <n v="109.22"/>
    <n v="2.6608003352189401E-2"/>
  </r>
  <r>
    <n v="1"/>
    <n v="1375637"/>
    <x v="1"/>
    <d v="2026-03-25T00:00:00"/>
    <x v="2"/>
    <n v="5475.02"/>
    <n v="235.98"/>
    <n v="4.31012124156624E-2"/>
  </r>
  <r>
    <n v="1"/>
    <n v="1375670"/>
    <x v="1"/>
    <d v="2026-03-25T00:00:00"/>
    <x v="2"/>
    <n v="7856.29"/>
    <n v="399.71"/>
    <n v="5.0877704361727991E-2"/>
  </r>
  <r>
    <n v="1"/>
    <n v="1338156"/>
    <x v="0"/>
    <d v="2026-04-17T00:00:00"/>
    <x v="3"/>
    <n v="2138.2399999999998"/>
    <n v="8.44"/>
    <n v="3.9471715055372641E-3"/>
  </r>
  <r>
    <n v="1"/>
    <n v="1335337"/>
    <x v="0"/>
    <d v="2026-04-17T00:00:00"/>
    <x v="3"/>
    <n v="5048.8999999999996"/>
    <n v="19.920000000000002"/>
    <n v="3.9454138525223323E-3"/>
  </r>
  <r>
    <n v="1"/>
    <n v="1338157"/>
    <x v="0"/>
    <d v="2026-04-23T00:00:00"/>
    <x v="3"/>
    <n v="2098.4299999999998"/>
    <n v="48.23"/>
    <n v="2.2983849830587631E-2"/>
  </r>
  <r>
    <n v="1"/>
    <n v="1342309"/>
    <x v="0"/>
    <d v="2026-04-23T00:00:00"/>
    <x v="3"/>
    <n v="2385.6799999999998"/>
    <n v="54.85"/>
    <n v="2.2991348378659335E-2"/>
  </r>
  <r>
    <n v="1"/>
    <n v="1335338"/>
    <x v="0"/>
    <d v="2026-04-23T00:00:00"/>
    <x v="3"/>
    <n v="4954.87"/>
    <n v="113.92"/>
    <n v="2.2991521472813616E-2"/>
  </r>
  <r>
    <n v="1"/>
    <n v="1335339"/>
    <x v="0"/>
    <d v="2026-04-23T00:00:00"/>
    <x v="3"/>
    <n v="4886.67"/>
    <n v="182.12"/>
    <n v="3.7268733104547681E-2"/>
  </r>
  <r>
    <n v="1"/>
    <n v="1431771"/>
    <x v="4"/>
    <d v="2026-04-28T00:00:00"/>
    <x v="3"/>
    <n v="25905.54"/>
    <n v="416.2"/>
    <n v="1.6066061545136675E-2"/>
  </r>
  <r>
    <n v="1"/>
    <n v="1437679"/>
    <x v="6"/>
    <d v="2026-04-30T00:00:00"/>
    <x v="3"/>
    <n v="14636.05"/>
    <n v="733.43"/>
    <n v="5.0111198034988945E-2"/>
  </r>
  <r>
    <n v="1"/>
    <n v="1437809"/>
    <x v="1"/>
    <d v="2026-04-30T00:00:00"/>
    <x v="3"/>
    <n v="6761.54"/>
    <n v="288.45999999999998"/>
    <n v="4.2661878802757951E-2"/>
  </r>
  <r>
    <n v="1"/>
    <n v="1382563"/>
    <x v="5"/>
    <d v="2026-05-14T00:00:00"/>
    <x v="4"/>
    <n v="39088.14"/>
    <n v="310.26"/>
    <n v="7.9374459874529714E-3"/>
  </r>
  <r>
    <n v="1"/>
    <n v="1458310"/>
    <x v="1"/>
    <d v="2026-05-14T00:00:00"/>
    <x v="4"/>
    <n v="3217.69"/>
    <n v="269.81"/>
    <n v="8.385208021903913E-2"/>
  </r>
  <r>
    <n v="1"/>
    <n v="1458307"/>
    <x v="1"/>
    <d v="2026-05-14T00:00:00"/>
    <x v="4"/>
    <n v="3413.78"/>
    <n v="73.72"/>
    <n v="2.1594830363995336E-2"/>
  </r>
  <r>
    <n v="1"/>
    <n v="1458308"/>
    <x v="1"/>
    <d v="2026-05-14T00:00:00"/>
    <x v="4"/>
    <n v="3362.2"/>
    <n v="125.3"/>
    <n v="3.7267265480935105E-2"/>
  </r>
  <r>
    <n v="1"/>
    <n v="1458309"/>
    <x v="1"/>
    <d v="2026-05-14T00:00:00"/>
    <x v="4"/>
    <n v="3266.49"/>
    <n v="221.01"/>
    <n v="6.7659781600433497E-2"/>
  </r>
  <r>
    <n v="1"/>
    <n v="1458303"/>
    <x v="1"/>
    <d v="2026-05-14T00:00:00"/>
    <x v="4"/>
    <n v="4616.3100000000004"/>
    <n v="99.69"/>
    <n v="2.1595170168381236E-2"/>
  </r>
  <r>
    <n v="1"/>
    <n v="1458304"/>
    <x v="1"/>
    <d v="2026-05-14T00:00:00"/>
    <x v="4"/>
    <n v="4546.5600000000004"/>
    <n v="169.44"/>
    <n v="3.7267736486486486E-2"/>
  </r>
  <r>
    <n v="1"/>
    <n v="1458305"/>
    <x v="1"/>
    <d v="2026-05-14T00:00:00"/>
    <x v="4"/>
    <n v="4417.13"/>
    <n v="298.87"/>
    <n v="6.7661581162428999E-2"/>
  </r>
  <r>
    <n v="1"/>
    <n v="1458306"/>
    <x v="1"/>
    <d v="2026-05-14T00:00:00"/>
    <x v="4"/>
    <n v="4351.1400000000003"/>
    <n v="364.86"/>
    <n v="8.3853886567658131E-2"/>
  </r>
  <r>
    <n v="1"/>
    <n v="1471483"/>
    <x v="4"/>
    <d v="2026-05-20T00:00:00"/>
    <x v="4"/>
    <n v="29213.15"/>
    <n v="836.43"/>
    <n v="2.8631968822259834E-2"/>
  </r>
  <r>
    <n v="1"/>
    <n v="1499157"/>
    <x v="6"/>
    <d v="2026-06-03T00:00:00"/>
    <x v="5"/>
    <n v="16040.21"/>
    <n v="597.79"/>
    <n v="3.7268215316383017E-2"/>
  </r>
  <r>
    <n v="1"/>
    <n v="1486486"/>
    <x v="1"/>
    <d v="2026-06-03T00:00:00"/>
    <x v="5"/>
    <n v="459.84"/>
    <n v="4.2699999999999996"/>
    <n v="9.2858385525400131E-3"/>
  </r>
  <r>
    <n v="1"/>
    <n v="1486487"/>
    <x v="1"/>
    <d v="2026-06-03T00:00:00"/>
    <x v="5"/>
    <n v="447.45"/>
    <n v="16.68"/>
    <n v="3.7277908146161581E-2"/>
  </r>
  <r>
    <n v="1"/>
    <n v="1486488"/>
    <x v="1"/>
    <d v="2026-06-03T00:00:00"/>
    <x v="5"/>
    <n v="441.13"/>
    <n v="23"/>
    <n v="5.2138825289597172E-2"/>
  </r>
  <r>
    <n v="1"/>
    <n v="1486489"/>
    <x v="1"/>
    <d v="2026-06-03T00:00:00"/>
    <x v="5"/>
    <n v="428.22"/>
    <n v="35.909999999999997"/>
    <n v="8.3858764186633031E-2"/>
  </r>
  <r>
    <n v="1"/>
    <n v="1489059"/>
    <x v="1"/>
    <d v="2026-06-03T00:00:00"/>
    <x v="5"/>
    <n v="673.75"/>
    <n v="6.25"/>
    <n v="9.2764378478664197E-3"/>
  </r>
  <r>
    <n v="1"/>
    <n v="1488992"/>
    <x v="1"/>
    <d v="2026-06-03T00:00:00"/>
    <x v="5"/>
    <n v="1030.44"/>
    <n v="9.56"/>
    <n v="9.2775901556616594E-3"/>
  </r>
  <r>
    <n v="1"/>
    <n v="1428506"/>
    <x v="5"/>
    <d v="2026-06-03T00:00:00"/>
    <x v="5"/>
    <n v="43280.81"/>
    <n v="401.59"/>
    <n v="9.2787080463605006E-3"/>
  </r>
  <r>
    <n v="1"/>
    <n v="1448808"/>
    <x v="5"/>
    <d v="2026-06-03T00:00:00"/>
    <x v="6"/>
    <n v="68938.86"/>
    <n v="1584.94"/>
    <n v="2.2990516524352158E-2"/>
  </r>
  <r>
    <n v="1"/>
    <n v="1509511"/>
    <x v="1"/>
    <d v="2026-06-15T00:00:00"/>
    <x v="5"/>
    <n v="614.69000000000005"/>
    <n v="4.0599999999999996"/>
    <n v="6.6049553433437979E-3"/>
  </r>
  <r>
    <n v="1"/>
    <n v="1509512"/>
    <x v="1"/>
    <d v="2026-06-15T00:00:00"/>
    <x v="5"/>
    <n v="598.19000000000005"/>
    <n v="20.56"/>
    <n v="3.4370350557515167E-2"/>
  </r>
  <r>
    <n v="1"/>
    <n v="1509513"/>
    <x v="1"/>
    <d v="2026-06-15T00:00:00"/>
    <x v="5"/>
    <n v="589.78"/>
    <n v="28.97"/>
    <n v="4.9120010851503949E-2"/>
  </r>
  <r>
    <n v="1"/>
    <n v="1509514"/>
    <x v="1"/>
    <d v="2026-06-15T00:00:00"/>
    <x v="5"/>
    <n v="571.75"/>
    <n v="47"/>
    <n v="8.2203760384783553E-2"/>
  </r>
  <r>
    <n v="6"/>
    <n v="1512371"/>
    <x v="1"/>
    <d v="2026-06-15T00:00:00"/>
    <x v="5"/>
    <n v="1610.62"/>
    <n v="10.63"/>
    <n v="6.5999428791397108E-3"/>
  </r>
  <r>
    <n v="6"/>
    <n v="1512372"/>
    <x v="1"/>
    <d v="2026-06-15T00:00:00"/>
    <x v="5"/>
    <n v="1567.39"/>
    <n v="53.86"/>
    <n v="3.4362857999604438E-2"/>
  </r>
  <r>
    <n v="6"/>
    <n v="1512373"/>
    <x v="1"/>
    <d v="2026-06-15T00:00:00"/>
    <x v="5"/>
    <n v="1545.34"/>
    <n v="75.91"/>
    <n v="4.91218760919927E-2"/>
  </r>
  <r>
    <n v="6"/>
    <n v="1512374"/>
    <x v="1"/>
    <d v="2026-06-15T00:00:00"/>
    <x v="5"/>
    <n v="1498.1"/>
    <n v="123.15"/>
    <n v="8.2204125225285377E-2"/>
  </r>
  <r>
    <n v="1"/>
    <n v="1522092"/>
    <x v="7"/>
    <d v="2026-06-16T00:00:00"/>
    <x v="5"/>
    <n v="45138.33"/>
    <n v="1271.67"/>
    <n v="2.8172730360206059E-2"/>
  </r>
  <r>
    <n v="1"/>
    <n v="1521531"/>
    <x v="4"/>
    <d v="2026-06-16T00:00:00"/>
    <x v="5"/>
    <n v="34799"/>
    <n v="654.89"/>
    <n v="1.8819218943073077E-2"/>
  </r>
  <r>
    <n v="1"/>
    <n v="1530531"/>
    <x v="1"/>
    <d v="2026-06-19T00:00:00"/>
    <x v="5"/>
    <n v="7710.25"/>
    <n v="409.75"/>
    <n v="5.3143542686683309E-2"/>
  </r>
  <r>
    <n v="1"/>
    <n v="1534200"/>
    <x v="1"/>
    <d v="2026-06-26T00:00:00"/>
    <x v="5"/>
    <n v="984.67"/>
    <n v="95.83"/>
    <n v="9.7321945423339801E-2"/>
  </r>
  <r>
    <n v="1"/>
    <n v="1534197"/>
    <x v="1"/>
    <d v="2026-06-26T00:00:00"/>
    <x v="5"/>
    <n v="1060.54"/>
    <n v="19.96"/>
    <n v="1.8820600825994308E-2"/>
  </r>
  <r>
    <n v="1"/>
    <n v="1534198"/>
    <x v="1"/>
    <d v="2026-06-26T00:00:00"/>
    <x v="5"/>
    <n v="1031.3900000000001"/>
    <n v="49.11"/>
    <n v="4.7615354036785303E-2"/>
  </r>
  <r>
    <n v="1"/>
    <n v="1534199"/>
    <x v="1"/>
    <d v="2026-06-26T00:00:00"/>
    <x v="5"/>
    <n v="1015.03"/>
    <n v="65.47"/>
    <n v="6.4500556633794073E-2"/>
  </r>
  <r>
    <n v="1"/>
    <n v="1507545"/>
    <x v="7"/>
    <d v="2026-06-26T00:00:00"/>
    <x v="5"/>
    <n v="2975.01"/>
    <n v="141.66"/>
    <n v="4.7616646666733889E-2"/>
  </r>
  <r>
    <n v="1"/>
    <n v="1532407"/>
    <x v="7"/>
    <d v="2026-06-26T00:00:00"/>
    <x v="5"/>
    <n v="3054.25"/>
    <n v="145.43"/>
    <n v="4.761561758205779E-2"/>
  </r>
  <r>
    <n v="1"/>
    <n v="1499488"/>
    <x v="7"/>
    <d v="2026-06-26T00:00:00"/>
    <x v="5"/>
    <n v="3961.15"/>
    <n v="255.51"/>
    <n v="6.4503995051941987E-2"/>
  </r>
  <r>
    <n v="1"/>
    <n v="1499487"/>
    <x v="7"/>
    <d v="2026-06-26T00:00:00"/>
    <x v="5"/>
    <n v="4025.01"/>
    <n v="191.66"/>
    <n v="4.7617273000563967E-2"/>
  </r>
  <r>
    <n v="1"/>
    <n v="1461179"/>
    <x v="7"/>
    <d v="2026-06-26T00:00:00"/>
    <x v="5"/>
    <n v="4715.46"/>
    <n v="224.54"/>
    <n v="4.7617835799688681E-2"/>
  </r>
  <r>
    <n v="1"/>
    <n v="1545325"/>
    <x v="1"/>
    <d v="2026-07-07T00:00:00"/>
    <x v="6"/>
    <n v="5946.3"/>
    <n v="103.7"/>
    <n v="1.7439416107495418E-2"/>
  </r>
  <r>
    <n v="1"/>
    <n v="1545326"/>
    <x v="1"/>
    <d v="2026-07-07T00:00:00"/>
    <x v="6"/>
    <n v="5865.32"/>
    <n v="184.68"/>
    <n v="3.1486773100188908E-2"/>
  </r>
  <r>
    <n v="1"/>
    <n v="1545327"/>
    <x v="1"/>
    <d v="2026-07-07T00:00:00"/>
    <x v="6"/>
    <n v="5691.78"/>
    <n v="358.22"/>
    <n v="6.2936374912593254E-2"/>
  </r>
  <r>
    <n v="1"/>
    <n v="1545328"/>
    <x v="1"/>
    <d v="2026-07-07T00:00:00"/>
    <x v="6"/>
    <n v="5607.45"/>
    <n v="442.55"/>
    <n v="7.8921791545176506E-2"/>
  </r>
  <r>
    <n v="1"/>
    <n v="1551967"/>
    <x v="1"/>
    <d v="2026-07-16T00:00:00"/>
    <x v="6"/>
    <n v="68.709999999999994"/>
    <n v="1.29"/>
    <n v="1.877455974385097E-2"/>
  </r>
  <r>
    <n v="1"/>
    <n v="1551968"/>
    <x v="1"/>
    <d v="2026-07-16T00:00:00"/>
    <x v="6"/>
    <n v="67.67"/>
    <n v="2.33"/>
    <n v="3.4431801389094137E-2"/>
  </r>
  <r>
    <n v="1"/>
    <n v="1551969"/>
    <x v="1"/>
    <d v="2026-07-16T00:00:00"/>
    <x v="6"/>
    <n v="65.760000000000005"/>
    <n v="4.24"/>
    <n v="6.4476885644768861E-2"/>
  </r>
  <r>
    <n v="1"/>
    <n v="1551970"/>
    <x v="1"/>
    <d v="2026-07-16T00:00:00"/>
    <x v="6"/>
    <n v="64.680000000000007"/>
    <n v="5.32"/>
    <n v="8.2251082251082241E-2"/>
  </r>
  <r>
    <n v="1"/>
    <n v="1551079"/>
    <x v="1"/>
    <d v="2026-07-16T00:00:00"/>
    <x v="6"/>
    <n v="736.15"/>
    <n v="13.85"/>
    <n v="1.8814100387149358E-2"/>
  </r>
  <r>
    <n v="1"/>
    <n v="1551080"/>
    <x v="1"/>
    <d v="2026-07-16T00:00:00"/>
    <x v="6"/>
    <n v="725.08"/>
    <n v="24.92"/>
    <n v="3.4368621393501407E-2"/>
  </r>
  <r>
    <n v="1"/>
    <n v="1551081"/>
    <x v="1"/>
    <d v="2026-07-16T00:00:00"/>
    <x v="6"/>
    <n v="704.55"/>
    <n v="45.45"/>
    <n v="6.4509261230572712E-2"/>
  </r>
  <r>
    <n v="1"/>
    <n v="1551082"/>
    <x v="1"/>
    <d v="2026-07-16T00:00:00"/>
    <x v="6"/>
    <n v="693.03"/>
    <n v="56.97"/>
    <n v="8.2204233582961778E-2"/>
  </r>
  <r>
    <n v="6"/>
    <n v="1551972"/>
    <x v="1"/>
    <d v="2026-07-16T00:00:00"/>
    <x v="6"/>
    <n v="2880.79"/>
    <n v="54.21"/>
    <n v="1.881775485196769E-2"/>
  </r>
  <r>
    <n v="6"/>
    <n v="1551973"/>
    <x v="1"/>
    <d v="2026-07-16T00:00:00"/>
    <x v="6"/>
    <n v="2837.49"/>
    <n v="97.51"/>
    <n v="3.4364878818956196E-2"/>
  </r>
  <r>
    <n v="6"/>
    <n v="1551974"/>
    <x v="1"/>
    <d v="2026-07-16T00:00:00"/>
    <x v="6"/>
    <n v="2757.15"/>
    <n v="177.85"/>
    <n v="6.4505014235714406E-2"/>
  </r>
  <r>
    <n v="6"/>
    <n v="1551975"/>
    <x v="1"/>
    <d v="2026-07-16T00:00:00"/>
    <x v="6"/>
    <n v="2712.06"/>
    <n v="222.94"/>
    <n v="8.2203196094481693E-2"/>
  </r>
  <r>
    <n v="1"/>
    <n v="1555721"/>
    <x v="6"/>
    <d v="2026-07-20T00:00:00"/>
    <x v="6"/>
    <n v="25302.34"/>
    <n v="337.4"/>
    <n v="1.3334735048220836E-2"/>
  </r>
  <r>
    <n v="1"/>
    <n v="1555722"/>
    <x v="6"/>
    <d v="2026-07-20T00:00:00"/>
    <x v="6"/>
    <n v="24926.06"/>
    <n v="713.68"/>
    <n v="2.8631881653177434E-2"/>
  </r>
  <r>
    <n v="6"/>
    <n v="1562198"/>
    <x v="1"/>
    <d v="2026-07-28T00:00:00"/>
    <x v="6"/>
    <n v="3452.3"/>
    <n v="162.69999999999999"/>
    <n v="4.7128001622106994E-2"/>
  </r>
  <r>
    <n v="1"/>
    <n v="1505091"/>
    <x v="0"/>
    <d v="2026-07-28T00:00:00"/>
    <x v="6"/>
    <n v="9031.58"/>
    <n v="568.41999999999996"/>
    <n v="6.2936939051638802E-2"/>
  </r>
  <r>
    <n v="1"/>
    <n v="1455260"/>
    <x v="0"/>
    <d v="2026-07-31T00:00:00"/>
    <x v="6"/>
    <n v="1917.92"/>
    <n v="25.58"/>
    <n v="1.3337365479269206E-2"/>
  </r>
  <r>
    <n v="1"/>
    <n v="1483322"/>
    <x v="0"/>
    <d v="2026-07-31T00:00:00"/>
    <x v="6"/>
    <n v="1917.92"/>
    <n v="25.58"/>
    <n v="1.3337365479269206E-2"/>
  </r>
  <r>
    <n v="1"/>
    <n v="1540976"/>
    <x v="0"/>
    <d v="2026-07-31T00:00:00"/>
    <x v="6"/>
    <n v="3112.99"/>
    <n v="281.81"/>
    <n v="9.0527113803770654E-2"/>
  </r>
  <r>
    <n v="1"/>
    <n v="1566269"/>
    <x v="4"/>
    <d v="2026-08-07T00:00:00"/>
    <x v="7"/>
    <n v="19206.62"/>
    <n v="604.76"/>
    <n v="3.1487060190705081E-2"/>
  </r>
  <r>
    <n v="1"/>
    <n v="1576713"/>
    <x v="8"/>
    <d v="2026-08-17T00:00:00"/>
    <x v="7"/>
    <n v="28327.01"/>
    <n v="494.02"/>
    <n v="1.743989217358274E-2"/>
  </r>
  <r>
    <n v="6"/>
    <n v="1562728"/>
    <x v="1"/>
    <d v="2026-08-18T00:00:00"/>
    <x v="8"/>
    <n v="661.87"/>
    <n v="10.63"/>
    <n v="1.60605556982489E-2"/>
  </r>
  <r>
    <n v="6"/>
    <n v="1562729"/>
    <x v="1"/>
    <d v="2026-08-18T00:00:00"/>
    <x v="8"/>
    <n v="651.97"/>
    <n v="20.53"/>
    <n v="3.1489178949951686E-2"/>
  </r>
  <r>
    <n v="6"/>
    <n v="1562730"/>
    <x v="1"/>
    <d v="2026-08-18T00:00:00"/>
    <x v="8"/>
    <n v="633.61"/>
    <n v="38.89"/>
    <n v="6.1378450466375217E-2"/>
  </r>
  <r>
    <n v="6"/>
    <n v="1578292"/>
    <x v="1"/>
    <d v="2026-08-18T00:00:00"/>
    <x v="8"/>
    <n v="1742.01"/>
    <n v="27.99"/>
    <n v="1.6067645995143539E-2"/>
  </r>
  <r>
    <n v="14"/>
    <n v="1578295"/>
    <x v="1"/>
    <d v="2026-08-18T00:00:00"/>
    <x v="8"/>
    <n v="3025.81"/>
    <n v="139.19"/>
    <n v="4.6000905542648088E-2"/>
  </r>
  <r>
    <n v="1"/>
    <n v="1578293"/>
    <x v="1"/>
    <d v="2026-08-18T00:00:00"/>
    <x v="8"/>
    <n v="4326"/>
    <n v="199"/>
    <n v="4.6000924641701343E-2"/>
  </r>
  <r>
    <n v="14"/>
    <n v="1540990"/>
    <x v="5"/>
    <d v="2026-08-18T00:00:00"/>
    <x v="7"/>
    <n v="37643.589999999997"/>
    <n v="98.81"/>
    <n v="2.6248824833125643E-3"/>
  </r>
  <r>
    <n v="14"/>
    <n v="1554474"/>
    <x v="5"/>
    <d v="2026-08-18T00:00:00"/>
    <x v="7"/>
    <n v="108896.46"/>
    <n v="1749.54"/>
    <n v="1.6066086996767388E-2"/>
  </r>
  <r>
    <n v="14"/>
    <n v="1581223"/>
    <x v="5"/>
    <d v="2026-08-21T00:00:00"/>
    <x v="7"/>
    <n v="29137.15"/>
    <n v="2110.85"/>
    <n v="7.2445314658434332E-2"/>
  </r>
  <r>
    <n v="14"/>
    <n v="1586035"/>
    <x v="1"/>
    <d v="2026-08-26T00:00:00"/>
    <x v="7"/>
    <n v="731.65"/>
    <n v="33.35"/>
    <n v="4.5581903915806743E-2"/>
  </r>
  <r>
    <n v="1"/>
    <n v="1586037"/>
    <x v="1"/>
    <d v="2026-08-26T00:00:00"/>
    <x v="7"/>
    <n v="3121.87"/>
    <n v="178.13"/>
    <n v="5.7058750044044114E-2"/>
  </r>
  <r>
    <n v="6"/>
    <n v="1586038"/>
    <x v="1"/>
    <d v="2026-08-26T00:00:00"/>
    <x v="7"/>
    <n v="5714.59"/>
    <n v="260.41000000000003"/>
    <n v="4.5569323433527167E-2"/>
  </r>
  <r>
    <n v="1"/>
    <n v="1590857"/>
    <x v="1"/>
    <d v="2026-09-01T00:00:00"/>
    <x v="9"/>
    <n v="5719.81"/>
    <n v="274.19"/>
    <n v="4.7936906995162426E-2"/>
  </r>
  <r>
    <n v="6"/>
    <n v="1590855"/>
    <x v="1"/>
    <d v="2026-09-01T00:00:00"/>
    <x v="9"/>
    <n v="7233.26"/>
    <n v="346.74"/>
    <n v="4.7936891526089202E-2"/>
  </r>
  <r>
    <n v="1"/>
    <n v="1590856"/>
    <x v="1"/>
    <d v="2026-09-01T00:00:00"/>
    <x v="9"/>
    <n v="8950.94"/>
    <n v="429.06"/>
    <n v="4.7934630329328536E-2"/>
  </r>
  <r>
    <n v="1"/>
    <n v="1592968"/>
    <x v="1"/>
    <d v="2026-09-03T00:00:00"/>
    <x v="9"/>
    <n v="13038.84"/>
    <n v="683.16"/>
    <n v="5.2394231388681815E-2"/>
  </r>
  <r>
    <n v="1"/>
    <n v="1591866"/>
    <x v="5"/>
    <d v="2026-09-03T00:00:00"/>
    <x v="9"/>
    <n v="31263.87"/>
    <n v="2115.33"/>
    <n v="6.7660529550564272E-2"/>
  </r>
  <r>
    <n v="1"/>
    <n v="1600122"/>
    <x v="1"/>
    <d v="2026-09-15T00:00:00"/>
    <x v="9"/>
    <n v="713.58"/>
    <n v="14.42"/>
    <n v="2.0207965469884244E-2"/>
  </r>
  <r>
    <n v="1"/>
    <n v="1600120"/>
    <x v="1"/>
    <d v="2026-09-15T00:00:00"/>
    <x v="9"/>
    <n v="12416.42"/>
    <n v="556.58000000000004"/>
    <n v="4.4826125404907373E-2"/>
  </r>
  <r>
    <n v="1"/>
    <n v="1601195"/>
    <x v="9"/>
    <d v="2026-09-17T00:00:00"/>
    <x v="9"/>
    <n v="13793.56"/>
    <n v="54.42"/>
    <n v="3.9453194099275312E-3"/>
  </r>
  <r>
    <n v="1"/>
    <n v="1605495"/>
    <x v="1"/>
    <d v="2026-09-21T00:00:00"/>
    <x v="9"/>
    <n v="5943.64"/>
    <n v="264.36"/>
    <n v="4.4477794752037475E-2"/>
  </r>
  <r>
    <n v="1"/>
    <n v="1605711"/>
    <x v="9"/>
    <d v="2026-09-21T00:00:00"/>
    <x v="9"/>
    <n v="14124.06"/>
    <n v="169.17"/>
    <n v="1.1977434250491715E-2"/>
  </r>
  <r>
    <n v="1"/>
    <n v="1604678"/>
    <x v="8"/>
    <d v="2026-09-21T00:00:00"/>
    <x v="9"/>
    <n v="27635.57"/>
    <n v="1525.38"/>
    <n v="5.5196256129328984E-2"/>
  </r>
  <r>
    <n v="1"/>
    <n v="1605727"/>
    <x v="5"/>
    <d v="2026-09-21T00:00:00"/>
    <x v="9"/>
    <n v="112933.07"/>
    <n v="8181.49"/>
    <n v="7.2445475891162792E-2"/>
  </r>
  <r>
    <n v="6"/>
    <n v="1611752"/>
    <x v="1"/>
    <d v="2026-09-30T00:00:00"/>
    <x v="9"/>
    <n v="4055.13"/>
    <n v="169.87"/>
    <n v="4.1890149021116464E-2"/>
  </r>
  <r>
    <n v="1"/>
    <n v="1611750"/>
    <x v="1"/>
    <d v="2026-09-30T00:00:00"/>
    <x v="9"/>
    <n v="7224.66"/>
    <n v="311.33999999999997"/>
    <n v="4.309406947870211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E48F1-87EF-4E9B-AB74-BF2114D29F4E}" name="Tabela dinâmica7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Mês">
  <location ref="A3:D13" firstHeaderRow="0" firstDataRow="1" firstDataCol="1"/>
  <pivotFields count="4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44" showAll="0"/>
    <pivotField dataField="1" numFmtId="44" showAll="0"/>
    <pivotField dataField="1" numFmtId="1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lor líquido." fld="1" baseField="0" baseItem="0" numFmtId="44"/>
    <dataField name="Desconto Financeiro." fld="2" baseField="0" baseItem="0" numFmtId="44"/>
    <dataField name=" Ganha por %" fld="3" subtotal="average" baseField="0" baseItem="0" numFmtId="1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5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1F340-3154-4F0A-8D10-4A2CAE3AAF32}" name="Tabela dinâmica1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chartFormat="31" rowHeaderCaption="Fornecedores ">
  <location ref="A4:D15" firstHeaderRow="0" firstDataRow="1" firstDataCol="1" rowPageCount="1" colPageCount="1"/>
  <pivotFields count="8">
    <pivotField showAll="0"/>
    <pivotField showAll="0"/>
    <pivotField axis="axisRow" showAll="0">
      <items count="31">
        <item m="1" x="27"/>
        <item m="1" x="26"/>
        <item m="1" x="28"/>
        <item m="1" x="21"/>
        <item m="1" x="23"/>
        <item m="1" x="22"/>
        <item m="1" x="24"/>
        <item m="1" x="25"/>
        <item m="1" x="29"/>
        <item m="1" x="17"/>
        <item m="1" x="18"/>
        <item m="1" x="19"/>
        <item m="1" x="20"/>
        <item m="1" x="16"/>
        <item sd="0" x="0"/>
        <item m="1" x="11"/>
        <item m="1" x="15"/>
        <item sd="0" x="1"/>
        <item sd="0" x="2"/>
        <item sd="0" x="3"/>
        <item sd="0" x="4"/>
        <item sd="0" x="5"/>
        <item m="1" x="14"/>
        <item sd="0" x="6"/>
        <item m="1" x="13"/>
        <item m="1" x="12"/>
        <item sd="0" x="7"/>
        <item x="8"/>
        <item x="9"/>
        <item m="1" x="10"/>
        <item t="default"/>
      </items>
    </pivotField>
    <pivotField numFmtId="14" multipleItemSelectionAllowed="1" showAll="0"/>
    <pivotField axis="axisPage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44" showAll="0"/>
    <pivotField dataField="1" numFmtId="44" showAll="0"/>
    <pivotField dataField="1" numFmtId="10" multipleItemSelectionAllowed="1" showAll="0"/>
  </pivotFields>
  <rowFields count="1">
    <field x="2"/>
  </rowFields>
  <rowItems count="11">
    <i>
      <x v="14"/>
    </i>
    <i>
      <x v="17"/>
    </i>
    <i>
      <x v="18"/>
    </i>
    <i>
      <x v="19"/>
    </i>
    <i>
      <x v="20"/>
    </i>
    <i>
      <x v="21"/>
    </i>
    <i>
      <x v="23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Valor líquido." fld="5" baseField="0" baseItem="0" numFmtId="44"/>
    <dataField name="Desconto Financeiro." fld="6" baseField="0" baseItem="0" numFmtId="44"/>
    <dataField name="Média de Ganha por %" fld="7" subtotal="average" baseField="2" baseItem="14" numFmtId="10"/>
  </dataFields>
  <formats count="29">
    <format dxfId="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outline="0" collapsedLevelsAreSubtotals="1" fieldPosition="0"/>
    </format>
    <format dxfId="52">
      <pivotArea outline="0" collapsedLevelsAreSubtotals="1" fieldPosition="0"/>
    </format>
    <format dxfId="51">
      <pivotArea collapsedLevelsAreSubtotals="1" fieldPosition="0">
        <references count="1">
          <reference field="2" count="0"/>
        </references>
      </pivotArea>
    </format>
    <format dxfId="50">
      <pivotArea dataOnly="0" labelOnly="1" fieldPosition="0">
        <references count="1">
          <reference field="2" count="0"/>
        </references>
      </pivotArea>
    </format>
    <format dxfId="49">
      <pivotArea collapsedLevelsAreSubtotals="1" fieldPosition="0">
        <references count="1">
          <reference field="2" count="0"/>
        </references>
      </pivotArea>
    </format>
    <format dxfId="48">
      <pivotArea field="2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type="all" dataOnly="0" outline="0" fieldPosition="0"/>
    </format>
    <format dxfId="43">
      <pivotArea field="2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field="2" type="button" dataOnly="0" labelOnly="1" outline="0" axis="axisRow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">
      <pivotArea field="4" type="button" dataOnly="0" labelOnly="1" outline="0" axis="axisPage" fieldPosition="0"/>
    </format>
    <format dxfId="29">
      <pivotArea field="4" type="button" dataOnly="0" labelOnly="1" outline="0" axis="axisPage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36174-8176-4BFA-A85A-B4B760440A70}" name="Tabela1" displayName="Tabela1" ref="A1:H130" totalsRowShown="0" headerRowDxfId="74" headerRowCellStyle="Moeda">
  <autoFilter ref="A1:H130" xr:uid="{C2E36174-8176-4BFA-A85A-B4B760440A70}"/>
  <tableColumns count="8">
    <tableColumn id="1" xr3:uid="{E43F716C-17FB-403E-A60C-9039879F6326}" name="L.P" dataDxfId="73" totalsRowDxfId="72"/>
    <tableColumn id="2" xr3:uid="{BFD5FD24-83B9-439A-AFE7-87F024B9F391}" name="Duplicata" dataDxfId="71" totalsRowDxfId="70"/>
    <tableColumn id="3" xr3:uid="{FC99EE4A-E72D-40EC-A5A7-C45C6E6E3FC0}" name="Favorecido" dataDxfId="69" totalsRowDxfId="68"/>
    <tableColumn id="4" xr3:uid="{4A48BFFC-F963-44D0-892A-A37B6B103A64}" name="Vencimento" dataDxfId="67" totalsRowDxfId="66"/>
    <tableColumn id="9" xr3:uid="{9160D380-BAF1-4759-895D-0955385C2CBD}" name="Mês" dataDxfId="65" totalsRowDxfId="64"/>
    <tableColumn id="5" xr3:uid="{2C991543-7C1B-4E66-9DD9-1DCBA69EACC7}" name="Valor líquido" dataDxfId="63" totalsRowDxfId="62" dataCellStyle="Moeda"/>
    <tableColumn id="6" xr3:uid="{15C6E1F5-CE2D-4912-9957-34BA57A7541E}" name="Desconto Financeiro" dataDxfId="61" totalsRowDxfId="60" dataCellStyle="Moeda"/>
    <tableColumn id="7" xr3:uid="{C7BEA4B3-11CA-417D-A976-DB09212BCA5D}" name="Ganha por %" dataDxfId="59" totalsRowDxfId="58" dataCellStyle="Porcentagem">
      <calculatedColumnFormula>G2/F2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A7BC-6D6C-47EB-90B7-5DE8A3716D54}">
  <dimension ref="A3:D13"/>
  <sheetViews>
    <sheetView showGridLines="0" workbookViewId="0">
      <selection activeCell="C10" sqref="C10"/>
    </sheetView>
  </sheetViews>
  <sheetFormatPr defaultRowHeight="14.4" x14ac:dyDescent="0.3"/>
  <cols>
    <col min="1" max="1" width="10" bestFit="1" customWidth="1"/>
    <col min="2" max="2" width="15.5546875" bestFit="1" customWidth="1"/>
    <col min="3" max="3" width="18.6640625" bestFit="1" customWidth="1"/>
    <col min="4" max="4" width="11.6640625" bestFit="1" customWidth="1"/>
  </cols>
  <sheetData>
    <row r="3" spans="1:4" x14ac:dyDescent="0.3">
      <c r="A3" s="16" t="s">
        <v>0</v>
      </c>
      <c r="B3" t="s">
        <v>1</v>
      </c>
      <c r="C3" t="s">
        <v>2</v>
      </c>
      <c r="D3" t="s">
        <v>3</v>
      </c>
    </row>
    <row r="4" spans="1:4" x14ac:dyDescent="0.3">
      <c r="A4" s="2" t="s">
        <v>4</v>
      </c>
      <c r="B4" s="17">
        <v>114169.85</v>
      </c>
      <c r="C4" s="17">
        <v>4325.51</v>
      </c>
      <c r="D4" s="18">
        <v>4.3776150077792307E-2</v>
      </c>
    </row>
    <row r="5" spans="1:4" x14ac:dyDescent="0.3">
      <c r="A5" s="2" t="s">
        <v>5</v>
      </c>
      <c r="B5" s="17">
        <v>151200.88999999998</v>
      </c>
      <c r="C5" s="17">
        <v>5523.6799999999994</v>
      </c>
      <c r="D5" s="18">
        <v>3.4671143129155806E-2</v>
      </c>
    </row>
    <row r="6" spans="1:4" x14ac:dyDescent="0.3">
      <c r="A6" s="2" t="s">
        <v>6</v>
      </c>
      <c r="B6" s="17">
        <v>24614.370000000003</v>
      </c>
      <c r="C6" s="17">
        <v>884.78</v>
      </c>
      <c r="D6" s="18">
        <v>3.1926831866718873E-2</v>
      </c>
    </row>
    <row r="7" spans="1:4" x14ac:dyDescent="0.3">
      <c r="A7" s="2" t="s">
        <v>7</v>
      </c>
      <c r="B7" s="17">
        <v>68815.92</v>
      </c>
      <c r="C7" s="17">
        <v>1865.5700000000002</v>
      </c>
      <c r="D7" s="18">
        <v>2.4774130725283491E-2</v>
      </c>
    </row>
    <row r="8" spans="1:4" x14ac:dyDescent="0.3">
      <c r="A8" s="2" t="s">
        <v>8</v>
      </c>
      <c r="B8" s="17">
        <v>99492.59</v>
      </c>
      <c r="C8" s="17">
        <v>2769.39</v>
      </c>
      <c r="D8" s="18">
        <v>4.5732174685907075E-2</v>
      </c>
    </row>
    <row r="9" spans="1:4" x14ac:dyDescent="0.3">
      <c r="A9" s="2" t="s">
        <v>9</v>
      </c>
      <c r="B9" s="17">
        <v>181867.80000000005</v>
      </c>
      <c r="C9" s="17">
        <v>4984.67</v>
      </c>
      <c r="D9" s="18">
        <v>4.1986267281615516E-2</v>
      </c>
    </row>
    <row r="10" spans="1:4" x14ac:dyDescent="0.3">
      <c r="A10" s="2" t="s">
        <v>10</v>
      </c>
      <c r="B10" s="17">
        <v>176023.93999999997</v>
      </c>
      <c r="C10" s="17">
        <v>5496.14</v>
      </c>
      <c r="D10" s="18">
        <v>4.5113735997973359E-2</v>
      </c>
    </row>
    <row r="11" spans="1:4" x14ac:dyDescent="0.3">
      <c r="A11" s="2" t="s">
        <v>34</v>
      </c>
      <c r="B11" s="17">
        <v>232778.93999999997</v>
      </c>
      <c r="C11" s="17">
        <v>5529.87</v>
      </c>
      <c r="D11" s="18">
        <v>3.603415173702252E-2</v>
      </c>
    </row>
    <row r="12" spans="1:4" x14ac:dyDescent="0.3">
      <c r="A12" s="2" t="s">
        <v>36</v>
      </c>
      <c r="B12" s="17">
        <v>11041.27</v>
      </c>
      <c r="C12" s="17">
        <v>436.23</v>
      </c>
      <c r="D12" s="18">
        <v>3.6166276882344799E-2</v>
      </c>
    </row>
    <row r="13" spans="1:4" x14ac:dyDescent="0.3">
      <c r="A13" s="2" t="s">
        <v>11</v>
      </c>
      <c r="B13" s="17">
        <v>1060005.5700000008</v>
      </c>
      <c r="C13" s="17">
        <v>31815.840000000011</v>
      </c>
      <c r="D13" s="18">
        <v>3.9901589341810678E-2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B5FA-6D15-45AC-BC0B-8204D62EE5BF}">
  <dimension ref="A2:E16"/>
  <sheetViews>
    <sheetView showGridLines="0" tabSelected="1" workbookViewId="0">
      <selection activeCell="C18" sqref="C18"/>
    </sheetView>
  </sheetViews>
  <sheetFormatPr defaultRowHeight="14.4" x14ac:dyDescent="0.3"/>
  <cols>
    <col min="1" max="1" width="68.6640625" bestFit="1" customWidth="1"/>
    <col min="2" max="2" width="18.88671875" bestFit="1" customWidth="1"/>
    <col min="3" max="3" width="23" bestFit="1" customWidth="1"/>
    <col min="4" max="4" width="23.77734375" bestFit="1" customWidth="1"/>
  </cols>
  <sheetData>
    <row r="2" spans="1:5" ht="19.8" x14ac:dyDescent="0.4">
      <c r="A2" s="34" t="s">
        <v>0</v>
      </c>
      <c r="B2" t="s">
        <v>33</v>
      </c>
    </row>
    <row r="4" spans="1:5" ht="17.399999999999999" x14ac:dyDescent="0.35">
      <c r="A4" s="26" t="s">
        <v>12</v>
      </c>
      <c r="B4" s="27" t="s">
        <v>1</v>
      </c>
      <c r="C4" s="27" t="s">
        <v>2</v>
      </c>
      <c r="D4" s="28" t="s">
        <v>13</v>
      </c>
      <c r="E4" s="7"/>
    </row>
    <row r="5" spans="1:5" ht="17.399999999999999" x14ac:dyDescent="0.35">
      <c r="A5" s="29" t="s">
        <v>14</v>
      </c>
      <c r="B5" s="30">
        <v>68679.750000000015</v>
      </c>
      <c r="C5" s="30">
        <v>3217.9199999999996</v>
      </c>
      <c r="D5" s="31">
        <v>4.4144603053875339E-2</v>
      </c>
    </row>
    <row r="6" spans="1:5" ht="17.399999999999999" x14ac:dyDescent="0.35">
      <c r="A6" s="29" t="s">
        <v>15</v>
      </c>
      <c r="B6" s="30">
        <v>298315.78000000003</v>
      </c>
      <c r="C6" s="30">
        <v>13603.220000000001</v>
      </c>
      <c r="D6" s="31">
        <v>4.3425467679551071E-2</v>
      </c>
    </row>
    <row r="7" spans="1:5" ht="17.399999999999999" x14ac:dyDescent="0.35">
      <c r="A7" s="29" t="s">
        <v>27</v>
      </c>
      <c r="B7" s="30">
        <v>5383.74</v>
      </c>
      <c r="C7" s="30">
        <v>116.26</v>
      </c>
      <c r="D7" s="31">
        <v>2.1594653530816868E-2</v>
      </c>
    </row>
    <row r="8" spans="1:5" ht="17.399999999999999" x14ac:dyDescent="0.35">
      <c r="A8" s="29" t="s">
        <v>28</v>
      </c>
      <c r="B8" s="30">
        <v>5500.05</v>
      </c>
      <c r="C8" s="30">
        <v>167.86</v>
      </c>
      <c r="D8" s="31">
        <v>3.2232841636414065E-2</v>
      </c>
    </row>
    <row r="9" spans="1:5" ht="17.399999999999999" x14ac:dyDescent="0.35">
      <c r="A9" s="29" t="s">
        <v>16</v>
      </c>
      <c r="B9" s="30">
        <v>168020.38999999998</v>
      </c>
      <c r="C9" s="30">
        <v>2995.26</v>
      </c>
      <c r="D9" s="31">
        <v>1.850200393300758E-2</v>
      </c>
    </row>
    <row r="10" spans="1:5" ht="17.399999999999999" x14ac:dyDescent="0.35">
      <c r="A10" s="29" t="s">
        <v>17</v>
      </c>
      <c r="B10" s="30">
        <v>539254.35</v>
      </c>
      <c r="C10" s="30">
        <v>19760.41</v>
      </c>
      <c r="D10" s="31">
        <v>3.5396597665174945E-2</v>
      </c>
    </row>
    <row r="11" spans="1:5" ht="17.399999999999999" x14ac:dyDescent="0.35">
      <c r="A11" s="29" t="s">
        <v>18</v>
      </c>
      <c r="B11" s="30">
        <v>92148.51</v>
      </c>
      <c r="C11" s="30">
        <v>2576.9599999999996</v>
      </c>
      <c r="D11" s="31">
        <v>2.7602847195327435E-2</v>
      </c>
    </row>
    <row r="12" spans="1:5" ht="17.399999999999999" x14ac:dyDescent="0.35">
      <c r="A12" s="29" t="s">
        <v>19</v>
      </c>
      <c r="B12" s="30">
        <v>63869.210000000006</v>
      </c>
      <c r="C12" s="30">
        <v>2230.4700000000003</v>
      </c>
      <c r="D12" s="31">
        <v>4.7190683076865393E-2</v>
      </c>
    </row>
    <row r="13" spans="1:5" ht="17.399999999999999" x14ac:dyDescent="0.35">
      <c r="A13" s="29" t="s">
        <v>35</v>
      </c>
      <c r="B13" s="30">
        <v>55962.58</v>
      </c>
      <c r="C13" s="30">
        <v>2019.4</v>
      </c>
      <c r="D13" s="31">
        <v>3.6318074151455861E-2</v>
      </c>
    </row>
    <row r="14" spans="1:5" ht="17.399999999999999" x14ac:dyDescent="0.35">
      <c r="A14" s="29" t="s">
        <v>38</v>
      </c>
      <c r="B14" s="30">
        <v>27917.62</v>
      </c>
      <c r="C14" s="30">
        <v>223.58999999999997</v>
      </c>
      <c r="D14" s="31">
        <v>7.9613768302096224E-3</v>
      </c>
    </row>
    <row r="15" spans="1:5" ht="17.399999999999999" x14ac:dyDescent="0.35">
      <c r="A15" s="29" t="s">
        <v>11</v>
      </c>
      <c r="B15" s="32">
        <v>1325051.9800000002</v>
      </c>
      <c r="C15" s="32">
        <v>46911.349999999991</v>
      </c>
      <c r="D15" s="33">
        <v>4.0237260107795457E-2</v>
      </c>
    </row>
    <row r="16" spans="1:5" ht="17.399999999999999" x14ac:dyDescent="0.3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opLeftCell="A114" workbookViewId="0">
      <selection activeCell="F115" sqref="F115"/>
    </sheetView>
  </sheetViews>
  <sheetFormatPr defaultRowHeight="14.4" x14ac:dyDescent="0.3"/>
  <cols>
    <col min="1" max="1" width="6.5546875" customWidth="1"/>
    <col min="2" max="2" width="14.33203125" customWidth="1"/>
    <col min="3" max="3" width="118.6640625" bestFit="1" customWidth="1"/>
    <col min="4" max="4" width="20.88671875" style="12" bestFit="1" customWidth="1"/>
    <col min="5" max="5" width="20.88671875" style="12" customWidth="1"/>
    <col min="6" max="6" width="19.6640625" style="5" customWidth="1"/>
    <col min="7" max="7" width="29" style="5" customWidth="1"/>
    <col min="8" max="8" width="20.44140625" style="7" customWidth="1"/>
  </cols>
  <sheetData>
    <row r="1" spans="1:8" ht="21" x14ac:dyDescent="0.4">
      <c r="A1" s="19" t="s">
        <v>20</v>
      </c>
      <c r="B1" s="19" t="s">
        <v>21</v>
      </c>
      <c r="C1" s="19" t="s">
        <v>22</v>
      </c>
      <c r="D1" s="20" t="s">
        <v>23</v>
      </c>
      <c r="E1" s="20" t="s">
        <v>0</v>
      </c>
      <c r="F1" s="21" t="s">
        <v>24</v>
      </c>
      <c r="G1" s="21" t="s">
        <v>25</v>
      </c>
      <c r="H1" s="6" t="s">
        <v>26</v>
      </c>
    </row>
    <row r="2" spans="1:8" x14ac:dyDescent="0.3">
      <c r="A2" s="1">
        <v>1</v>
      </c>
      <c r="B2" s="2">
        <v>1281925</v>
      </c>
      <c r="C2" s="2" t="s">
        <v>14</v>
      </c>
      <c r="D2" s="3">
        <v>46027</v>
      </c>
      <c r="E2" s="3" t="s">
        <v>4</v>
      </c>
      <c r="F2" s="4">
        <v>9724.93</v>
      </c>
      <c r="G2" s="4">
        <v>412.67</v>
      </c>
      <c r="H2" s="7">
        <f>G2/F2</f>
        <v>4.2434238601203302E-2</v>
      </c>
    </row>
    <row r="3" spans="1:8" x14ac:dyDescent="0.3">
      <c r="A3" s="1">
        <v>1</v>
      </c>
      <c r="B3" s="2">
        <v>1283794</v>
      </c>
      <c r="C3" s="2" t="s">
        <v>15</v>
      </c>
      <c r="D3" s="3">
        <v>46029</v>
      </c>
      <c r="E3" s="3" t="s">
        <v>4</v>
      </c>
      <c r="F3" s="4">
        <v>6127.05</v>
      </c>
      <c r="G3" s="4">
        <v>197.95</v>
      </c>
      <c r="H3" s="7">
        <f t="shared" ref="H3:H15" si="0">G3/F3</f>
        <v>3.2307554206347261E-2</v>
      </c>
    </row>
    <row r="4" spans="1:8" x14ac:dyDescent="0.3">
      <c r="A4" s="1">
        <v>1</v>
      </c>
      <c r="B4" s="2">
        <v>1288780</v>
      </c>
      <c r="C4" s="2" t="s">
        <v>27</v>
      </c>
      <c r="D4" s="3">
        <v>46036</v>
      </c>
      <c r="E4" s="3" t="s">
        <v>4</v>
      </c>
      <c r="F4" s="4">
        <v>5383.74</v>
      </c>
      <c r="G4" s="4">
        <v>116.26</v>
      </c>
      <c r="H4" s="7">
        <f t="shared" si="0"/>
        <v>2.1594653530816868E-2</v>
      </c>
    </row>
    <row r="5" spans="1:8" x14ac:dyDescent="0.3">
      <c r="A5" s="1">
        <v>1</v>
      </c>
      <c r="B5" s="2">
        <v>1292830</v>
      </c>
      <c r="C5" s="2" t="s">
        <v>15</v>
      </c>
      <c r="D5" s="3">
        <v>46042</v>
      </c>
      <c r="E5" s="3" t="s">
        <v>4</v>
      </c>
      <c r="F5" s="4">
        <v>2625</v>
      </c>
      <c r="G5" s="4">
        <v>35</v>
      </c>
      <c r="H5" s="7">
        <f t="shared" si="0"/>
        <v>1.3333333333333334E-2</v>
      </c>
    </row>
    <row r="6" spans="1:8" x14ac:dyDescent="0.3">
      <c r="A6" s="1">
        <v>1</v>
      </c>
      <c r="B6" s="2">
        <v>1294234</v>
      </c>
      <c r="C6" s="2" t="s">
        <v>15</v>
      </c>
      <c r="D6" s="3">
        <v>46042</v>
      </c>
      <c r="E6" s="3" t="s">
        <v>4</v>
      </c>
      <c r="F6" s="4">
        <v>16670.2</v>
      </c>
      <c r="G6" s="4">
        <v>755.8</v>
      </c>
      <c r="H6" s="7">
        <f t="shared" si="0"/>
        <v>4.5338388261688518E-2</v>
      </c>
    </row>
    <row r="7" spans="1:8" x14ac:dyDescent="0.3">
      <c r="A7" s="1">
        <v>1</v>
      </c>
      <c r="B7" s="2">
        <v>1295218</v>
      </c>
      <c r="C7" s="2" t="s">
        <v>28</v>
      </c>
      <c r="D7" s="3">
        <v>46045</v>
      </c>
      <c r="E7" s="3" t="s">
        <v>4</v>
      </c>
      <c r="F7" s="4">
        <v>1827.75</v>
      </c>
      <c r="G7" s="4">
        <v>68.25</v>
      </c>
      <c r="H7" s="7">
        <f t="shared" si="0"/>
        <v>3.7340993024210095E-2</v>
      </c>
    </row>
    <row r="8" spans="1:8" x14ac:dyDescent="0.3">
      <c r="A8" s="1">
        <v>10</v>
      </c>
      <c r="B8" s="2">
        <v>1295216</v>
      </c>
      <c r="C8" s="2" t="s">
        <v>28</v>
      </c>
      <c r="D8" s="3">
        <v>46045</v>
      </c>
      <c r="E8" s="3" t="s">
        <v>4</v>
      </c>
      <c r="F8" s="4">
        <v>3672.3</v>
      </c>
      <c r="G8" s="4">
        <v>99.61</v>
      </c>
      <c r="H8" s="7">
        <f t="shared" si="0"/>
        <v>2.7124690248618032E-2</v>
      </c>
    </row>
    <row r="9" spans="1:8" x14ac:dyDescent="0.3">
      <c r="A9" s="1">
        <v>1</v>
      </c>
      <c r="B9" s="2">
        <v>1304671</v>
      </c>
      <c r="C9" s="2" t="s">
        <v>15</v>
      </c>
      <c r="D9" s="3">
        <v>46051</v>
      </c>
      <c r="E9" s="3" t="s">
        <v>4</v>
      </c>
      <c r="F9" s="4">
        <v>23546.63</v>
      </c>
      <c r="G9" s="4">
        <v>1181.3699999999999</v>
      </c>
      <c r="H9" s="7">
        <f t="shared" si="0"/>
        <v>5.0171510742726237E-2</v>
      </c>
    </row>
    <row r="10" spans="1:8" x14ac:dyDescent="0.3">
      <c r="A10" s="1">
        <v>1</v>
      </c>
      <c r="B10" s="2">
        <v>1296353</v>
      </c>
      <c r="C10" s="2" t="s">
        <v>14</v>
      </c>
      <c r="D10" s="3">
        <v>46052</v>
      </c>
      <c r="E10" s="3" t="s">
        <v>4</v>
      </c>
      <c r="F10" s="4">
        <v>2668.7</v>
      </c>
      <c r="G10" s="4">
        <v>147.30000000000001</v>
      </c>
      <c r="H10" s="7">
        <f>G10/F10</f>
        <v>5.5195413497208384E-2</v>
      </c>
    </row>
    <row r="11" spans="1:8" x14ac:dyDescent="0.3">
      <c r="A11" s="1">
        <v>1</v>
      </c>
      <c r="B11" s="2">
        <v>1296354</v>
      </c>
      <c r="C11" s="2" t="s">
        <v>14</v>
      </c>
      <c r="D11" s="3">
        <v>46052</v>
      </c>
      <c r="E11" s="3" t="s">
        <v>4</v>
      </c>
      <c r="F11" s="4">
        <v>2590.19</v>
      </c>
      <c r="G11" s="4">
        <v>225.81</v>
      </c>
      <c r="H11" s="7">
        <f>G11/F11</f>
        <v>8.7178932819600111E-2</v>
      </c>
    </row>
    <row r="12" spans="1:8" x14ac:dyDescent="0.3">
      <c r="A12" s="1">
        <v>1</v>
      </c>
      <c r="B12" s="2">
        <v>1304073</v>
      </c>
      <c r="C12" s="2" t="s">
        <v>14</v>
      </c>
      <c r="D12" s="3">
        <v>46052</v>
      </c>
      <c r="E12" s="3" t="s">
        <v>4</v>
      </c>
      <c r="F12" s="4">
        <v>4577.3500000000004</v>
      </c>
      <c r="G12" s="4">
        <v>252.65</v>
      </c>
      <c r="H12" s="7">
        <f>G12/F12</f>
        <v>5.51956918304259E-2</v>
      </c>
    </row>
    <row r="13" spans="1:8" x14ac:dyDescent="0.3">
      <c r="A13" s="1">
        <v>1</v>
      </c>
      <c r="B13" s="2">
        <v>1304074</v>
      </c>
      <c r="C13" s="2" t="s">
        <v>14</v>
      </c>
      <c r="D13" s="3">
        <v>46052</v>
      </c>
      <c r="E13" s="3" t="s">
        <v>4</v>
      </c>
      <c r="F13" s="4">
        <v>4442.7</v>
      </c>
      <c r="G13" s="4">
        <v>387.3</v>
      </c>
      <c r="H13" s="7">
        <f>G13/F13</f>
        <v>8.7176716861368089E-2</v>
      </c>
    </row>
    <row r="14" spans="1:8" x14ac:dyDescent="0.3">
      <c r="A14" s="1">
        <v>1</v>
      </c>
      <c r="B14" s="2">
        <v>1306486</v>
      </c>
      <c r="C14" s="2" t="s">
        <v>16</v>
      </c>
      <c r="D14" s="3">
        <v>46052</v>
      </c>
      <c r="E14" s="3" t="s">
        <v>4</v>
      </c>
      <c r="F14" s="4">
        <v>30313.31</v>
      </c>
      <c r="G14" s="4">
        <v>445.54</v>
      </c>
      <c r="H14" s="7">
        <f>G14/F14</f>
        <v>1.4697834053753946E-2</v>
      </c>
    </row>
    <row r="15" spans="1:8" x14ac:dyDescent="0.3">
      <c r="A15" s="1">
        <v>1</v>
      </c>
      <c r="B15" s="2">
        <v>1310301</v>
      </c>
      <c r="C15" s="2" t="s">
        <v>15</v>
      </c>
      <c r="D15" s="3">
        <v>46056</v>
      </c>
      <c r="E15" s="3" t="s">
        <v>5</v>
      </c>
      <c r="F15" s="4">
        <v>8960.08</v>
      </c>
      <c r="G15" s="4">
        <v>448.92</v>
      </c>
      <c r="H15" s="7">
        <f t="shared" si="0"/>
        <v>5.0102231230078308E-2</v>
      </c>
    </row>
    <row r="16" spans="1:8" x14ac:dyDescent="0.3">
      <c r="A16" s="1">
        <v>1</v>
      </c>
      <c r="B16" s="2">
        <v>1314258</v>
      </c>
      <c r="C16" s="2" t="s">
        <v>15</v>
      </c>
      <c r="D16" s="3">
        <v>46058</v>
      </c>
      <c r="E16" s="3" t="s">
        <v>5</v>
      </c>
      <c r="F16" s="4">
        <v>11135.59</v>
      </c>
      <c r="G16" s="4">
        <v>524.41</v>
      </c>
      <c r="H16" s="7">
        <f t="shared" ref="H16:H26" si="1">G16/F16</f>
        <v>4.7093149083254675E-2</v>
      </c>
    </row>
    <row r="17" spans="1:8" x14ac:dyDescent="0.3">
      <c r="A17" s="1">
        <v>1</v>
      </c>
      <c r="B17" s="2">
        <v>1314257</v>
      </c>
      <c r="C17" s="2" t="s">
        <v>15</v>
      </c>
      <c r="D17" s="3">
        <v>46058</v>
      </c>
      <c r="E17" s="3" t="s">
        <v>5</v>
      </c>
      <c r="F17" s="4">
        <v>12128.8</v>
      </c>
      <c r="G17" s="4">
        <v>571.20000000000005</v>
      </c>
      <c r="H17" s="7">
        <f t="shared" si="1"/>
        <v>4.7094518831211671E-2</v>
      </c>
    </row>
    <row r="18" spans="1:8" x14ac:dyDescent="0.3">
      <c r="A18" s="1">
        <v>1</v>
      </c>
      <c r="B18" s="2">
        <v>1319177</v>
      </c>
      <c r="C18" s="2" t="s">
        <v>17</v>
      </c>
      <c r="D18" s="3">
        <v>46063</v>
      </c>
      <c r="E18" s="3" t="s">
        <v>5</v>
      </c>
      <c r="F18" s="4">
        <v>68072.399999999994</v>
      </c>
      <c r="G18" s="4">
        <v>3207.6</v>
      </c>
      <c r="H18" s="7">
        <f>G18/F18</f>
        <v>4.712041884816754E-2</v>
      </c>
    </row>
    <row r="19" spans="1:8" x14ac:dyDescent="0.3">
      <c r="A19" s="1">
        <v>1</v>
      </c>
      <c r="B19" s="2">
        <v>1296355</v>
      </c>
      <c r="C19" s="2" t="s">
        <v>14</v>
      </c>
      <c r="D19" s="3">
        <v>46077</v>
      </c>
      <c r="E19" s="3" t="s">
        <v>5</v>
      </c>
      <c r="F19" s="4">
        <v>2645.36</v>
      </c>
      <c r="G19" s="4">
        <v>170.64</v>
      </c>
      <c r="H19" s="7">
        <f t="shared" si="1"/>
        <v>6.4505398131067218E-2</v>
      </c>
    </row>
    <row r="20" spans="1:8" x14ac:dyDescent="0.3">
      <c r="A20" s="1">
        <v>1</v>
      </c>
      <c r="B20" s="2">
        <v>1304075</v>
      </c>
      <c r="C20" s="2" t="s">
        <v>14</v>
      </c>
      <c r="D20" s="3">
        <v>46077</v>
      </c>
      <c r="E20" s="3" t="s">
        <v>5</v>
      </c>
      <c r="F20" s="4">
        <v>4537.32</v>
      </c>
      <c r="G20" s="4">
        <v>292.68</v>
      </c>
      <c r="H20" s="7">
        <f t="shared" si="1"/>
        <v>6.4505038216392058E-2</v>
      </c>
    </row>
    <row r="21" spans="1:8" x14ac:dyDescent="0.3">
      <c r="A21" s="1">
        <v>1</v>
      </c>
      <c r="B21" s="2">
        <v>1329476</v>
      </c>
      <c r="C21" s="2" t="s">
        <v>15</v>
      </c>
      <c r="D21" s="3">
        <v>46079</v>
      </c>
      <c r="E21" s="3" t="s">
        <v>5</v>
      </c>
      <c r="F21" s="4">
        <v>1594.38</v>
      </c>
      <c r="G21" s="4">
        <v>25.62</v>
      </c>
      <c r="H21" s="7">
        <f t="shared" si="1"/>
        <v>1.6068942159334663E-2</v>
      </c>
    </row>
    <row r="22" spans="1:8" x14ac:dyDescent="0.3">
      <c r="A22" s="1">
        <v>1</v>
      </c>
      <c r="B22" s="2">
        <v>1329470</v>
      </c>
      <c r="C22" s="2" t="s">
        <v>15</v>
      </c>
      <c r="D22" s="3">
        <v>46079</v>
      </c>
      <c r="E22" s="3" t="s">
        <v>5</v>
      </c>
      <c r="F22" s="4">
        <v>1718.39</v>
      </c>
      <c r="G22" s="4">
        <v>27.61</v>
      </c>
      <c r="H22" s="7">
        <f t="shared" si="1"/>
        <v>1.6067365382712886E-2</v>
      </c>
    </row>
    <row r="23" spans="1:8" x14ac:dyDescent="0.3">
      <c r="A23" s="1">
        <v>1</v>
      </c>
      <c r="B23" s="2">
        <v>1328866</v>
      </c>
      <c r="C23" s="2" t="s">
        <v>15</v>
      </c>
      <c r="D23" s="3">
        <v>46079</v>
      </c>
      <c r="E23" s="3" t="s">
        <v>5</v>
      </c>
      <c r="F23" s="4">
        <v>1997.9</v>
      </c>
      <c r="G23" s="4">
        <v>32.1</v>
      </c>
      <c r="H23" s="7">
        <f t="shared" si="1"/>
        <v>1.606687021372441E-2</v>
      </c>
    </row>
    <row r="24" spans="1:8" x14ac:dyDescent="0.3">
      <c r="A24" s="1">
        <v>1</v>
      </c>
      <c r="B24" s="2">
        <v>1328867</v>
      </c>
      <c r="C24" s="2" t="s">
        <v>15</v>
      </c>
      <c r="D24" s="3">
        <v>46079</v>
      </c>
      <c r="E24" s="3" t="s">
        <v>5</v>
      </c>
      <c r="F24" s="4">
        <v>1970.77</v>
      </c>
      <c r="G24" s="4">
        <v>59.23</v>
      </c>
      <c r="H24" s="7">
        <f>G24/F24</f>
        <v>3.0054242757906805E-2</v>
      </c>
    </row>
    <row r="25" spans="1:8" x14ac:dyDescent="0.3">
      <c r="A25" s="1">
        <v>1</v>
      </c>
      <c r="B25" s="2">
        <v>1320281</v>
      </c>
      <c r="C25" s="2" t="s">
        <v>18</v>
      </c>
      <c r="D25" s="3">
        <v>46079</v>
      </c>
      <c r="E25" s="3" t="s">
        <v>5</v>
      </c>
      <c r="F25" s="4">
        <v>7857.13</v>
      </c>
      <c r="G25" s="4">
        <v>126.23</v>
      </c>
      <c r="H25" s="7">
        <f>G25/F25</f>
        <v>1.6065662652902522E-2</v>
      </c>
    </row>
    <row r="26" spans="1:8" x14ac:dyDescent="0.3">
      <c r="A26" s="1">
        <v>1</v>
      </c>
      <c r="B26" s="2">
        <v>1330550</v>
      </c>
      <c r="C26" s="2" t="s">
        <v>16</v>
      </c>
      <c r="D26" s="3">
        <v>46080</v>
      </c>
      <c r="E26" s="3" t="s">
        <v>5</v>
      </c>
      <c r="F26" s="4">
        <v>28582.77</v>
      </c>
      <c r="G26" s="4">
        <v>37.44</v>
      </c>
      <c r="H26" s="7">
        <f t="shared" si="1"/>
        <v>1.3098800431168847E-3</v>
      </c>
    </row>
    <row r="27" spans="1:8" x14ac:dyDescent="0.3">
      <c r="A27" s="1">
        <v>1</v>
      </c>
      <c r="B27" s="2">
        <v>1338413</v>
      </c>
      <c r="C27" s="2" t="s">
        <v>18</v>
      </c>
      <c r="D27" s="3">
        <v>46086</v>
      </c>
      <c r="E27" s="3" t="s">
        <v>6</v>
      </c>
      <c r="F27" s="4">
        <v>3386.72</v>
      </c>
      <c r="G27" s="4">
        <v>68.430000000000007</v>
      </c>
      <c r="H27" s="7">
        <f t="shared" ref="H27:H31" si="2">G27/F27</f>
        <v>2.0205390466291873E-2</v>
      </c>
    </row>
    <row r="28" spans="1:8" x14ac:dyDescent="0.3">
      <c r="A28" s="1">
        <v>1</v>
      </c>
      <c r="B28" s="2">
        <v>1350137</v>
      </c>
      <c r="C28" s="2" t="s">
        <v>15</v>
      </c>
      <c r="D28" s="3">
        <v>46092</v>
      </c>
      <c r="E28" s="3" t="s">
        <v>6</v>
      </c>
      <c r="F28" s="4">
        <v>3791.56</v>
      </c>
      <c r="G28" s="4">
        <v>71.44</v>
      </c>
      <c r="H28" s="7">
        <f t="shared" si="2"/>
        <v>1.8841848737722731E-2</v>
      </c>
    </row>
    <row r="29" spans="1:8" x14ac:dyDescent="0.3">
      <c r="A29" s="1">
        <v>1</v>
      </c>
      <c r="B29" s="2">
        <v>1350138</v>
      </c>
      <c r="C29" s="2" t="s">
        <v>15</v>
      </c>
      <c r="D29" s="3">
        <v>46092</v>
      </c>
      <c r="E29" s="3" t="s">
        <v>6</v>
      </c>
      <c r="F29" s="4">
        <v>4104.78</v>
      </c>
      <c r="G29" s="4">
        <v>109.22</v>
      </c>
      <c r="H29" s="7">
        <f t="shared" si="2"/>
        <v>2.6608003352189401E-2</v>
      </c>
    </row>
    <row r="30" spans="1:8" x14ac:dyDescent="0.3">
      <c r="A30" s="1">
        <v>1</v>
      </c>
      <c r="B30" s="2">
        <v>1375637</v>
      </c>
      <c r="C30" s="2" t="s">
        <v>15</v>
      </c>
      <c r="D30" s="3">
        <v>46106</v>
      </c>
      <c r="E30" s="3" t="s">
        <v>6</v>
      </c>
      <c r="F30" s="4">
        <v>5475.02</v>
      </c>
      <c r="G30" s="4">
        <v>235.98</v>
      </c>
      <c r="H30" s="7">
        <f t="shared" si="2"/>
        <v>4.31012124156624E-2</v>
      </c>
    </row>
    <row r="31" spans="1:8" x14ac:dyDescent="0.3">
      <c r="A31" s="1">
        <v>1</v>
      </c>
      <c r="B31" s="2">
        <v>1375670</v>
      </c>
      <c r="C31" s="2" t="s">
        <v>15</v>
      </c>
      <c r="D31" s="3">
        <v>46106</v>
      </c>
      <c r="E31" s="3" t="s">
        <v>6</v>
      </c>
      <c r="F31" s="4">
        <v>7856.29</v>
      </c>
      <c r="G31" s="4">
        <v>399.71</v>
      </c>
      <c r="H31" s="7">
        <f t="shared" si="2"/>
        <v>5.0877704361727991E-2</v>
      </c>
    </row>
    <row r="32" spans="1:8" x14ac:dyDescent="0.3">
      <c r="A32" s="1">
        <v>1</v>
      </c>
      <c r="B32" s="2">
        <v>1338156</v>
      </c>
      <c r="C32" s="22" t="s">
        <v>14</v>
      </c>
      <c r="D32" s="3">
        <v>46129</v>
      </c>
      <c r="E32" s="3" t="s">
        <v>7</v>
      </c>
      <c r="F32" s="4">
        <v>2138.2399999999998</v>
      </c>
      <c r="G32" s="4">
        <v>8.44</v>
      </c>
      <c r="H32" s="7">
        <f t="shared" ref="H32:H33" si="3">G32/F32</f>
        <v>3.9471715055372641E-3</v>
      </c>
    </row>
    <row r="33" spans="1:8" x14ac:dyDescent="0.3">
      <c r="A33" s="1">
        <v>1</v>
      </c>
      <c r="B33" s="2">
        <v>1335337</v>
      </c>
      <c r="C33" s="23" t="s">
        <v>14</v>
      </c>
      <c r="D33" s="3">
        <v>46129</v>
      </c>
      <c r="E33" s="3" t="s">
        <v>7</v>
      </c>
      <c r="F33" s="13">
        <v>5048.8999999999996</v>
      </c>
      <c r="G33" s="13">
        <v>19.920000000000002</v>
      </c>
      <c r="H33" s="14">
        <f t="shared" si="3"/>
        <v>3.9454138525223323E-3</v>
      </c>
    </row>
    <row r="34" spans="1:8" x14ac:dyDescent="0.3">
      <c r="A34" s="1">
        <v>1</v>
      </c>
      <c r="B34" s="2">
        <v>1338157</v>
      </c>
      <c r="C34" s="22" t="s">
        <v>14</v>
      </c>
      <c r="D34" s="3">
        <v>46135</v>
      </c>
      <c r="E34" s="24" t="s">
        <v>7</v>
      </c>
      <c r="F34" s="4">
        <v>2098.4299999999998</v>
      </c>
      <c r="G34" s="4">
        <v>48.23</v>
      </c>
      <c r="H34" s="7">
        <f t="shared" ref="H34:H37" si="4">G34/F34</f>
        <v>2.2983849830587631E-2</v>
      </c>
    </row>
    <row r="35" spans="1:8" x14ac:dyDescent="0.3">
      <c r="A35" s="1">
        <v>1</v>
      </c>
      <c r="B35" s="2">
        <v>1342309</v>
      </c>
      <c r="C35" s="22" t="s">
        <v>14</v>
      </c>
      <c r="D35" s="3">
        <v>46135</v>
      </c>
      <c r="E35" s="24" t="s">
        <v>7</v>
      </c>
      <c r="F35" s="4">
        <v>2385.6799999999998</v>
      </c>
      <c r="G35" s="4">
        <v>54.85</v>
      </c>
      <c r="H35" s="7">
        <f t="shared" si="4"/>
        <v>2.2991348378659335E-2</v>
      </c>
    </row>
    <row r="36" spans="1:8" x14ac:dyDescent="0.3">
      <c r="A36" s="1">
        <v>1</v>
      </c>
      <c r="B36" s="2">
        <v>1335338</v>
      </c>
      <c r="C36" s="22" t="s">
        <v>14</v>
      </c>
      <c r="D36" s="3">
        <v>46135</v>
      </c>
      <c r="E36" s="24" t="s">
        <v>7</v>
      </c>
      <c r="F36" s="4">
        <v>4954.87</v>
      </c>
      <c r="G36" s="4">
        <v>113.92</v>
      </c>
      <c r="H36" s="7">
        <f t="shared" si="4"/>
        <v>2.2991521472813616E-2</v>
      </c>
    </row>
    <row r="37" spans="1:8" x14ac:dyDescent="0.3">
      <c r="A37" s="1">
        <v>1</v>
      </c>
      <c r="B37" s="2">
        <v>1335339</v>
      </c>
      <c r="C37" s="23" t="s">
        <v>14</v>
      </c>
      <c r="D37" s="3">
        <v>46135</v>
      </c>
      <c r="E37" s="25" t="s">
        <v>7</v>
      </c>
      <c r="F37" s="13">
        <v>4886.67</v>
      </c>
      <c r="G37" s="13">
        <v>182.12</v>
      </c>
      <c r="H37" s="14">
        <f t="shared" si="4"/>
        <v>3.7268733104547681E-2</v>
      </c>
    </row>
    <row r="38" spans="1:8" x14ac:dyDescent="0.3">
      <c r="A38" s="1">
        <v>1</v>
      </c>
      <c r="B38" s="2">
        <v>1431771</v>
      </c>
      <c r="C38" s="2" t="s">
        <v>16</v>
      </c>
      <c r="D38" s="3">
        <v>46140</v>
      </c>
      <c r="E38" s="3" t="s">
        <v>7</v>
      </c>
      <c r="F38" s="4">
        <v>25905.54</v>
      </c>
      <c r="G38" s="4">
        <v>416.2</v>
      </c>
      <c r="H38" s="7">
        <f>G38/F38</f>
        <v>1.6066061545136675E-2</v>
      </c>
    </row>
    <row r="39" spans="1:8" x14ac:dyDescent="0.3">
      <c r="A39" s="1">
        <v>1</v>
      </c>
      <c r="B39" s="2">
        <v>1437679</v>
      </c>
      <c r="C39" s="2" t="s">
        <v>18</v>
      </c>
      <c r="D39" s="3">
        <v>46142</v>
      </c>
      <c r="E39" s="3" t="s">
        <v>7</v>
      </c>
      <c r="F39" s="4">
        <v>14636.05</v>
      </c>
      <c r="G39" s="4">
        <v>733.43</v>
      </c>
      <c r="H39" s="7">
        <f>G39/F39</f>
        <v>5.0111198034988945E-2</v>
      </c>
    </row>
    <row r="40" spans="1:8" x14ac:dyDescent="0.3">
      <c r="A40" s="1">
        <v>1</v>
      </c>
      <c r="B40" s="2">
        <v>1437809</v>
      </c>
      <c r="C40" s="2" t="s">
        <v>15</v>
      </c>
      <c r="D40" s="3">
        <v>46142</v>
      </c>
      <c r="E40" s="3" t="s">
        <v>7</v>
      </c>
      <c r="F40" s="4">
        <v>6761.54</v>
      </c>
      <c r="G40" s="4">
        <v>288.45999999999998</v>
      </c>
      <c r="H40" s="7">
        <f>G40/F40</f>
        <v>4.2661878802757951E-2</v>
      </c>
    </row>
    <row r="41" spans="1:8" x14ac:dyDescent="0.3">
      <c r="A41" s="1">
        <v>1</v>
      </c>
      <c r="B41" s="2">
        <v>1382563</v>
      </c>
      <c r="C41" s="2" t="s">
        <v>17</v>
      </c>
      <c r="D41" s="3">
        <v>46156</v>
      </c>
      <c r="E41" s="3" t="s">
        <v>8</v>
      </c>
      <c r="F41" s="4">
        <v>39088.14</v>
      </c>
      <c r="G41" s="4">
        <v>310.26</v>
      </c>
      <c r="H41" s="7">
        <f>G41/F41</f>
        <v>7.9374459874529714E-3</v>
      </c>
    </row>
    <row r="42" spans="1:8" x14ac:dyDescent="0.3">
      <c r="A42" s="1">
        <v>1</v>
      </c>
      <c r="B42" s="2">
        <v>1458310</v>
      </c>
      <c r="C42" s="2" t="s">
        <v>15</v>
      </c>
      <c r="D42" s="3">
        <v>46156</v>
      </c>
      <c r="E42" s="3" t="s">
        <v>8</v>
      </c>
      <c r="F42" s="4">
        <v>3217.69</v>
      </c>
      <c r="G42" s="4">
        <v>269.81</v>
      </c>
      <c r="H42" s="7">
        <f t="shared" ref="H42:H49" si="5">G42/F42</f>
        <v>8.385208021903913E-2</v>
      </c>
    </row>
    <row r="43" spans="1:8" x14ac:dyDescent="0.3">
      <c r="A43" s="1">
        <v>1</v>
      </c>
      <c r="B43" s="2">
        <v>1458307</v>
      </c>
      <c r="C43" s="2" t="s">
        <v>15</v>
      </c>
      <c r="D43" s="3">
        <v>46156</v>
      </c>
      <c r="E43" s="3" t="s">
        <v>8</v>
      </c>
      <c r="F43" s="4">
        <v>3413.78</v>
      </c>
      <c r="G43" s="4">
        <v>73.72</v>
      </c>
      <c r="H43" s="7">
        <f t="shared" si="5"/>
        <v>2.1594830363995336E-2</v>
      </c>
    </row>
    <row r="44" spans="1:8" x14ac:dyDescent="0.3">
      <c r="A44" s="1">
        <v>1</v>
      </c>
      <c r="B44" s="2">
        <v>1458308</v>
      </c>
      <c r="C44" s="2" t="s">
        <v>15</v>
      </c>
      <c r="D44" s="3">
        <v>46156</v>
      </c>
      <c r="E44" s="3" t="s">
        <v>8</v>
      </c>
      <c r="F44" s="4">
        <v>3362.2</v>
      </c>
      <c r="G44" s="4">
        <v>125.3</v>
      </c>
      <c r="H44" s="7">
        <f t="shared" si="5"/>
        <v>3.7267265480935105E-2</v>
      </c>
    </row>
    <row r="45" spans="1:8" x14ac:dyDescent="0.3">
      <c r="A45" s="1">
        <v>1</v>
      </c>
      <c r="B45" s="2">
        <v>1458309</v>
      </c>
      <c r="C45" s="2" t="s">
        <v>15</v>
      </c>
      <c r="D45" s="3">
        <v>46156</v>
      </c>
      <c r="E45" s="3" t="s">
        <v>8</v>
      </c>
      <c r="F45" s="4">
        <v>3266.49</v>
      </c>
      <c r="G45" s="4">
        <v>221.01</v>
      </c>
      <c r="H45" s="7">
        <f t="shared" si="5"/>
        <v>6.7659781600433497E-2</v>
      </c>
    </row>
    <row r="46" spans="1:8" x14ac:dyDescent="0.3">
      <c r="A46" s="1">
        <v>1</v>
      </c>
      <c r="B46" s="2">
        <v>1458303</v>
      </c>
      <c r="C46" s="2" t="s">
        <v>15</v>
      </c>
      <c r="D46" s="3">
        <v>46156</v>
      </c>
      <c r="E46" s="3" t="s">
        <v>8</v>
      </c>
      <c r="F46" s="4">
        <v>4616.3100000000004</v>
      </c>
      <c r="G46" s="4">
        <v>99.69</v>
      </c>
      <c r="H46" s="7">
        <f t="shared" si="5"/>
        <v>2.1595170168381236E-2</v>
      </c>
    </row>
    <row r="47" spans="1:8" x14ac:dyDescent="0.3">
      <c r="A47" s="1">
        <v>1</v>
      </c>
      <c r="B47" s="2">
        <v>1458304</v>
      </c>
      <c r="C47" s="2" t="s">
        <v>15</v>
      </c>
      <c r="D47" s="3">
        <v>46156</v>
      </c>
      <c r="E47" s="3" t="s">
        <v>8</v>
      </c>
      <c r="F47" s="4">
        <v>4546.5600000000004</v>
      </c>
      <c r="G47" s="4">
        <v>169.44</v>
      </c>
      <c r="H47" s="7">
        <f t="shared" si="5"/>
        <v>3.7267736486486486E-2</v>
      </c>
    </row>
    <row r="48" spans="1:8" x14ac:dyDescent="0.3">
      <c r="A48" s="1">
        <v>1</v>
      </c>
      <c r="B48" s="2">
        <v>1458305</v>
      </c>
      <c r="C48" s="2" t="s">
        <v>15</v>
      </c>
      <c r="D48" s="3">
        <v>46156</v>
      </c>
      <c r="E48" s="3" t="s">
        <v>8</v>
      </c>
      <c r="F48" s="4">
        <v>4417.13</v>
      </c>
      <c r="G48" s="4">
        <v>298.87</v>
      </c>
      <c r="H48" s="7">
        <f t="shared" si="5"/>
        <v>6.7661581162428999E-2</v>
      </c>
    </row>
    <row r="49" spans="1:8" x14ac:dyDescent="0.3">
      <c r="A49" s="1">
        <v>1</v>
      </c>
      <c r="B49" s="2">
        <v>1458306</v>
      </c>
      <c r="C49" s="2" t="s">
        <v>15</v>
      </c>
      <c r="D49" s="3">
        <v>46156</v>
      </c>
      <c r="E49" s="3" t="s">
        <v>8</v>
      </c>
      <c r="F49" s="4">
        <v>4351.1400000000003</v>
      </c>
      <c r="G49" s="4">
        <v>364.86</v>
      </c>
      <c r="H49" s="7">
        <f t="shared" si="5"/>
        <v>8.3853886567658131E-2</v>
      </c>
    </row>
    <row r="50" spans="1:8" x14ac:dyDescent="0.3">
      <c r="A50" s="1">
        <v>1</v>
      </c>
      <c r="B50" s="2">
        <v>1471483</v>
      </c>
      <c r="C50" s="2" t="s">
        <v>16</v>
      </c>
      <c r="D50" s="3">
        <v>46162</v>
      </c>
      <c r="E50" s="3" t="s">
        <v>8</v>
      </c>
      <c r="F50" s="4">
        <v>29213.15</v>
      </c>
      <c r="G50" s="4">
        <v>836.43</v>
      </c>
      <c r="H50" s="7">
        <f>G50/F50</f>
        <v>2.8631968822259834E-2</v>
      </c>
    </row>
    <row r="51" spans="1:8" x14ac:dyDescent="0.3">
      <c r="A51" s="1">
        <v>1</v>
      </c>
      <c r="B51" s="2">
        <v>1499157</v>
      </c>
      <c r="C51" s="2" t="s">
        <v>18</v>
      </c>
      <c r="D51" s="3">
        <v>46176</v>
      </c>
      <c r="E51" s="3" t="s">
        <v>9</v>
      </c>
      <c r="F51" s="4">
        <v>16040.21</v>
      </c>
      <c r="G51" s="4">
        <v>597.79</v>
      </c>
      <c r="H51" s="7">
        <f>G51/F51</f>
        <v>3.7268215316383017E-2</v>
      </c>
    </row>
    <row r="52" spans="1:8" x14ac:dyDescent="0.3">
      <c r="A52" s="1">
        <v>1</v>
      </c>
      <c r="B52" s="2">
        <v>1486486</v>
      </c>
      <c r="C52" s="2" t="s">
        <v>15</v>
      </c>
      <c r="D52" s="3">
        <v>46176</v>
      </c>
      <c r="E52" s="3" t="s">
        <v>9</v>
      </c>
      <c r="F52" s="4">
        <v>459.84</v>
      </c>
      <c r="G52" s="4">
        <v>4.2699999999999996</v>
      </c>
      <c r="H52" s="7">
        <f t="shared" ref="H52:H57" si="6">G52/F52</f>
        <v>9.2858385525400131E-3</v>
      </c>
    </row>
    <row r="53" spans="1:8" x14ac:dyDescent="0.3">
      <c r="A53" s="1">
        <v>1</v>
      </c>
      <c r="B53" s="2">
        <v>1486487</v>
      </c>
      <c r="C53" s="2" t="s">
        <v>15</v>
      </c>
      <c r="D53" s="3">
        <v>46176</v>
      </c>
      <c r="E53" s="3" t="s">
        <v>9</v>
      </c>
      <c r="F53" s="4">
        <v>447.45</v>
      </c>
      <c r="G53" s="4">
        <v>16.68</v>
      </c>
      <c r="H53" s="7">
        <f t="shared" si="6"/>
        <v>3.7277908146161581E-2</v>
      </c>
    </row>
    <row r="54" spans="1:8" x14ac:dyDescent="0.3">
      <c r="A54" s="1">
        <v>1</v>
      </c>
      <c r="B54" s="2">
        <v>1486488</v>
      </c>
      <c r="C54" s="2" t="s">
        <v>15</v>
      </c>
      <c r="D54" s="3">
        <v>46176</v>
      </c>
      <c r="E54" s="3" t="s">
        <v>9</v>
      </c>
      <c r="F54" s="4">
        <v>441.13</v>
      </c>
      <c r="G54" s="4">
        <v>23</v>
      </c>
      <c r="H54" s="7">
        <f t="shared" si="6"/>
        <v>5.2138825289597172E-2</v>
      </c>
    </row>
    <row r="55" spans="1:8" x14ac:dyDescent="0.3">
      <c r="A55" s="1">
        <v>1</v>
      </c>
      <c r="B55" s="2">
        <v>1486489</v>
      </c>
      <c r="C55" s="2" t="s">
        <v>15</v>
      </c>
      <c r="D55" s="3">
        <v>46176</v>
      </c>
      <c r="E55" s="3" t="s">
        <v>9</v>
      </c>
      <c r="F55" s="4">
        <v>428.22</v>
      </c>
      <c r="G55" s="4">
        <v>35.909999999999997</v>
      </c>
      <c r="H55" s="7">
        <f t="shared" si="6"/>
        <v>8.3858764186633031E-2</v>
      </c>
    </row>
    <row r="56" spans="1:8" x14ac:dyDescent="0.3">
      <c r="A56" s="1">
        <v>1</v>
      </c>
      <c r="B56" s="2">
        <v>1489059</v>
      </c>
      <c r="C56" s="2" t="s">
        <v>15</v>
      </c>
      <c r="D56" s="3">
        <v>46176</v>
      </c>
      <c r="E56" s="3" t="s">
        <v>9</v>
      </c>
      <c r="F56" s="4">
        <v>673.75</v>
      </c>
      <c r="G56" s="4">
        <v>6.25</v>
      </c>
      <c r="H56" s="7">
        <f t="shared" si="6"/>
        <v>9.2764378478664197E-3</v>
      </c>
    </row>
    <row r="57" spans="1:8" x14ac:dyDescent="0.3">
      <c r="A57" s="1">
        <v>1</v>
      </c>
      <c r="B57" s="2">
        <v>1488992</v>
      </c>
      <c r="C57" s="2" t="s">
        <v>15</v>
      </c>
      <c r="D57" s="3">
        <v>46176</v>
      </c>
      <c r="E57" s="3" t="s">
        <v>9</v>
      </c>
      <c r="F57" s="4">
        <v>1030.44</v>
      </c>
      <c r="G57" s="4">
        <v>9.56</v>
      </c>
      <c r="H57" s="7">
        <f t="shared" si="6"/>
        <v>9.2775901556616594E-3</v>
      </c>
    </row>
    <row r="58" spans="1:8" x14ac:dyDescent="0.3">
      <c r="A58" s="1">
        <v>1</v>
      </c>
      <c r="B58" s="2">
        <v>1428506</v>
      </c>
      <c r="C58" s="2" t="s">
        <v>17</v>
      </c>
      <c r="D58" s="3">
        <v>46176</v>
      </c>
      <c r="E58" s="3" t="s">
        <v>9</v>
      </c>
      <c r="F58" s="4">
        <v>43280.81</v>
      </c>
      <c r="G58" s="4">
        <v>401.59</v>
      </c>
      <c r="H58" s="7">
        <f>G58/F58</f>
        <v>9.2787080463605006E-3</v>
      </c>
    </row>
    <row r="59" spans="1:8" x14ac:dyDescent="0.3">
      <c r="A59" s="1">
        <v>1</v>
      </c>
      <c r="B59" s="2">
        <v>1448808</v>
      </c>
      <c r="C59" s="2" t="s">
        <v>17</v>
      </c>
      <c r="D59" s="3">
        <v>46176</v>
      </c>
      <c r="E59" s="3" t="s">
        <v>10</v>
      </c>
      <c r="F59" s="4">
        <v>68938.86</v>
      </c>
      <c r="G59" s="4">
        <v>1584.94</v>
      </c>
      <c r="H59" s="7">
        <f>G59/F59</f>
        <v>2.2990516524352158E-2</v>
      </c>
    </row>
    <row r="60" spans="1:8" x14ac:dyDescent="0.3">
      <c r="A60" s="1">
        <v>1</v>
      </c>
      <c r="B60" s="2">
        <v>1509511</v>
      </c>
      <c r="C60" s="2" t="s">
        <v>15</v>
      </c>
      <c r="D60" s="3">
        <v>46188</v>
      </c>
      <c r="E60" s="3" t="s">
        <v>9</v>
      </c>
      <c r="F60" s="4">
        <v>614.69000000000005</v>
      </c>
      <c r="G60" s="4">
        <v>4.0599999999999996</v>
      </c>
      <c r="H60" s="7">
        <f t="shared" ref="H60:H63" si="7">G60/F60</f>
        <v>6.6049553433437979E-3</v>
      </c>
    </row>
    <row r="61" spans="1:8" x14ac:dyDescent="0.3">
      <c r="A61" s="1">
        <v>1</v>
      </c>
      <c r="B61" s="2">
        <v>1509512</v>
      </c>
      <c r="C61" s="2" t="s">
        <v>15</v>
      </c>
      <c r="D61" s="3">
        <v>46188</v>
      </c>
      <c r="E61" s="3" t="s">
        <v>9</v>
      </c>
      <c r="F61" s="4">
        <v>598.19000000000005</v>
      </c>
      <c r="G61" s="4">
        <v>20.56</v>
      </c>
      <c r="H61" s="7">
        <f t="shared" si="7"/>
        <v>3.4370350557515167E-2</v>
      </c>
    </row>
    <row r="62" spans="1:8" x14ac:dyDescent="0.3">
      <c r="A62" s="1">
        <v>1</v>
      </c>
      <c r="B62" s="2">
        <v>1509513</v>
      </c>
      <c r="C62" s="2" t="s">
        <v>15</v>
      </c>
      <c r="D62" s="3">
        <v>46188</v>
      </c>
      <c r="E62" s="3" t="s">
        <v>9</v>
      </c>
      <c r="F62" s="4">
        <v>589.78</v>
      </c>
      <c r="G62" s="4">
        <v>28.97</v>
      </c>
      <c r="H62" s="7">
        <f t="shared" si="7"/>
        <v>4.9120010851503949E-2</v>
      </c>
    </row>
    <row r="63" spans="1:8" x14ac:dyDescent="0.3">
      <c r="A63" s="1">
        <v>1</v>
      </c>
      <c r="B63" s="2">
        <v>1509514</v>
      </c>
      <c r="C63" s="2" t="s">
        <v>15</v>
      </c>
      <c r="D63" s="3">
        <v>46188</v>
      </c>
      <c r="E63" s="3" t="s">
        <v>9</v>
      </c>
      <c r="F63" s="4">
        <v>571.75</v>
      </c>
      <c r="G63" s="4">
        <v>47</v>
      </c>
      <c r="H63" s="7">
        <f t="shared" si="7"/>
        <v>8.2203760384783553E-2</v>
      </c>
    </row>
    <row r="64" spans="1:8" x14ac:dyDescent="0.3">
      <c r="A64" s="1">
        <v>6</v>
      </c>
      <c r="B64" s="2">
        <v>1512371</v>
      </c>
      <c r="C64" s="2" t="s">
        <v>15</v>
      </c>
      <c r="D64" s="3">
        <v>46188</v>
      </c>
      <c r="E64" s="3" t="s">
        <v>9</v>
      </c>
      <c r="F64" s="4">
        <v>1610.62</v>
      </c>
      <c r="G64" s="4">
        <v>10.63</v>
      </c>
      <c r="H64" s="7">
        <f t="shared" ref="H64:H67" si="8">G64/F64</f>
        <v>6.5999428791397108E-3</v>
      </c>
    </row>
    <row r="65" spans="1:8" x14ac:dyDescent="0.3">
      <c r="A65" s="1">
        <v>6</v>
      </c>
      <c r="B65" s="2">
        <v>1512372</v>
      </c>
      <c r="C65" s="2" t="s">
        <v>15</v>
      </c>
      <c r="D65" s="3">
        <v>46188</v>
      </c>
      <c r="E65" s="3" t="s">
        <v>9</v>
      </c>
      <c r="F65" s="4">
        <v>1567.39</v>
      </c>
      <c r="G65" s="4">
        <v>53.86</v>
      </c>
      <c r="H65" s="7">
        <f t="shared" si="8"/>
        <v>3.4362857999604438E-2</v>
      </c>
    </row>
    <row r="66" spans="1:8" x14ac:dyDescent="0.3">
      <c r="A66" s="1">
        <v>6</v>
      </c>
      <c r="B66" s="2">
        <v>1512373</v>
      </c>
      <c r="C66" s="2" t="s">
        <v>15</v>
      </c>
      <c r="D66" s="3">
        <v>46188</v>
      </c>
      <c r="E66" s="3" t="s">
        <v>9</v>
      </c>
      <c r="F66" s="4">
        <v>1545.34</v>
      </c>
      <c r="G66" s="4">
        <v>75.91</v>
      </c>
      <c r="H66" s="7">
        <f t="shared" si="8"/>
        <v>4.91218760919927E-2</v>
      </c>
    </row>
    <row r="67" spans="1:8" x14ac:dyDescent="0.3">
      <c r="A67" s="1">
        <v>6</v>
      </c>
      <c r="B67" s="2">
        <v>1512374</v>
      </c>
      <c r="C67" s="2" t="s">
        <v>15</v>
      </c>
      <c r="D67" s="3">
        <v>46188</v>
      </c>
      <c r="E67" s="3" t="s">
        <v>9</v>
      </c>
      <c r="F67" s="4">
        <v>1498.1</v>
      </c>
      <c r="G67" s="4">
        <v>123.15</v>
      </c>
      <c r="H67" s="7">
        <f t="shared" si="8"/>
        <v>8.2204125225285377E-2</v>
      </c>
    </row>
    <row r="68" spans="1:8" x14ac:dyDescent="0.3">
      <c r="A68" s="1">
        <v>1</v>
      </c>
      <c r="B68" s="2">
        <v>1522092</v>
      </c>
      <c r="C68" s="2" t="s">
        <v>19</v>
      </c>
      <c r="D68" s="3">
        <v>46189</v>
      </c>
      <c r="E68" s="3" t="s">
        <v>9</v>
      </c>
      <c r="F68" s="4">
        <v>45138.33</v>
      </c>
      <c r="G68" s="4">
        <v>1271.67</v>
      </c>
      <c r="H68" s="7">
        <f>G68/F68</f>
        <v>2.8172730360206059E-2</v>
      </c>
    </row>
    <row r="69" spans="1:8" x14ac:dyDescent="0.3">
      <c r="A69" s="1">
        <v>1</v>
      </c>
      <c r="B69" s="2">
        <v>1521531</v>
      </c>
      <c r="C69" s="15" t="s">
        <v>16</v>
      </c>
      <c r="D69" s="3">
        <v>46189</v>
      </c>
      <c r="E69" s="3" t="s">
        <v>9</v>
      </c>
      <c r="F69" s="4">
        <v>34799</v>
      </c>
      <c r="G69" s="4">
        <v>654.89</v>
      </c>
      <c r="H69" s="7">
        <f t="shared" ref="H69:H79" si="9">G69/F69</f>
        <v>1.8819218943073077E-2</v>
      </c>
    </row>
    <row r="70" spans="1:8" x14ac:dyDescent="0.3">
      <c r="A70" s="1">
        <v>1</v>
      </c>
      <c r="B70" s="2">
        <v>1530531</v>
      </c>
      <c r="C70" s="2" t="s">
        <v>15</v>
      </c>
      <c r="D70" s="3">
        <v>46192</v>
      </c>
      <c r="E70" s="3" t="s">
        <v>9</v>
      </c>
      <c r="F70" s="4">
        <v>7710.25</v>
      </c>
      <c r="G70" s="4">
        <v>409.75</v>
      </c>
      <c r="H70" s="7">
        <f t="shared" si="9"/>
        <v>5.3143542686683309E-2</v>
      </c>
    </row>
    <row r="71" spans="1:8" x14ac:dyDescent="0.3">
      <c r="A71" s="1">
        <v>1</v>
      </c>
      <c r="B71" s="2">
        <v>1534200</v>
      </c>
      <c r="C71" s="2" t="s">
        <v>15</v>
      </c>
      <c r="D71" s="3">
        <v>46199</v>
      </c>
      <c r="E71" s="3" t="s">
        <v>9</v>
      </c>
      <c r="F71" s="4">
        <v>984.67</v>
      </c>
      <c r="G71" s="4">
        <v>95.83</v>
      </c>
      <c r="H71" s="7">
        <f t="shared" si="9"/>
        <v>9.7321945423339801E-2</v>
      </c>
    </row>
    <row r="72" spans="1:8" x14ac:dyDescent="0.3">
      <c r="A72" s="1">
        <v>1</v>
      </c>
      <c r="B72" s="2">
        <v>1534197</v>
      </c>
      <c r="C72" s="2" t="s">
        <v>15</v>
      </c>
      <c r="D72" s="3">
        <v>46199</v>
      </c>
      <c r="E72" s="3" t="s">
        <v>9</v>
      </c>
      <c r="F72" s="4">
        <v>1060.54</v>
      </c>
      <c r="G72" s="4">
        <v>19.96</v>
      </c>
      <c r="H72" s="7">
        <f t="shared" si="9"/>
        <v>1.8820600825994308E-2</v>
      </c>
    </row>
    <row r="73" spans="1:8" x14ac:dyDescent="0.3">
      <c r="A73" s="1">
        <v>1</v>
      </c>
      <c r="B73" s="2">
        <v>1534198</v>
      </c>
      <c r="C73" s="2" t="s">
        <v>15</v>
      </c>
      <c r="D73" s="3">
        <v>46199</v>
      </c>
      <c r="E73" s="3" t="s">
        <v>9</v>
      </c>
      <c r="F73" s="4">
        <v>1031.3900000000001</v>
      </c>
      <c r="G73" s="4">
        <v>49.11</v>
      </c>
      <c r="H73" s="7">
        <f t="shared" si="9"/>
        <v>4.7615354036785303E-2</v>
      </c>
    </row>
    <row r="74" spans="1:8" x14ac:dyDescent="0.3">
      <c r="A74" s="1">
        <v>1</v>
      </c>
      <c r="B74" s="2">
        <v>1534199</v>
      </c>
      <c r="C74" s="2" t="s">
        <v>15</v>
      </c>
      <c r="D74" s="3">
        <v>46199</v>
      </c>
      <c r="E74" s="3" t="s">
        <v>9</v>
      </c>
      <c r="F74" s="4">
        <v>1015.03</v>
      </c>
      <c r="G74" s="4">
        <v>65.47</v>
      </c>
      <c r="H74" s="7">
        <f t="shared" si="9"/>
        <v>6.4500556633794073E-2</v>
      </c>
    </row>
    <row r="75" spans="1:8" x14ac:dyDescent="0.3">
      <c r="A75" s="1">
        <v>1</v>
      </c>
      <c r="B75" s="2">
        <v>1507545</v>
      </c>
      <c r="C75" s="2" t="s">
        <v>19</v>
      </c>
      <c r="D75" s="3">
        <v>46199</v>
      </c>
      <c r="E75" s="3" t="s">
        <v>9</v>
      </c>
      <c r="F75" s="4">
        <v>2975.01</v>
      </c>
      <c r="G75" s="4">
        <v>141.66</v>
      </c>
      <c r="H75" s="7">
        <f t="shared" si="9"/>
        <v>4.7616646666733889E-2</v>
      </c>
    </row>
    <row r="76" spans="1:8" x14ac:dyDescent="0.3">
      <c r="A76" s="1">
        <v>1</v>
      </c>
      <c r="B76" s="2">
        <v>1532407</v>
      </c>
      <c r="C76" s="2" t="s">
        <v>19</v>
      </c>
      <c r="D76" s="3">
        <v>46199</v>
      </c>
      <c r="E76" s="3" t="s">
        <v>9</v>
      </c>
      <c r="F76" s="4">
        <v>3054.25</v>
      </c>
      <c r="G76" s="4">
        <v>145.43</v>
      </c>
      <c r="H76" s="7">
        <f t="shared" si="9"/>
        <v>4.761561758205779E-2</v>
      </c>
    </row>
    <row r="77" spans="1:8" x14ac:dyDescent="0.3">
      <c r="A77" s="1">
        <v>1</v>
      </c>
      <c r="B77" s="2">
        <v>1499488</v>
      </c>
      <c r="C77" s="2" t="s">
        <v>19</v>
      </c>
      <c r="D77" s="3">
        <v>46199</v>
      </c>
      <c r="E77" s="3" t="s">
        <v>9</v>
      </c>
      <c r="F77" s="4">
        <v>3961.15</v>
      </c>
      <c r="G77" s="4">
        <v>255.51</v>
      </c>
      <c r="H77" s="7">
        <f t="shared" si="9"/>
        <v>6.4503995051941987E-2</v>
      </c>
    </row>
    <row r="78" spans="1:8" x14ac:dyDescent="0.3">
      <c r="A78" s="1">
        <v>1</v>
      </c>
      <c r="B78" s="2">
        <v>1499487</v>
      </c>
      <c r="C78" s="2" t="s">
        <v>19</v>
      </c>
      <c r="D78" s="3">
        <v>46199</v>
      </c>
      <c r="E78" s="3" t="s">
        <v>9</v>
      </c>
      <c r="F78" s="4">
        <v>4025.01</v>
      </c>
      <c r="G78" s="4">
        <v>191.66</v>
      </c>
      <c r="H78" s="7">
        <f t="shared" si="9"/>
        <v>4.7617273000563967E-2</v>
      </c>
    </row>
    <row r="79" spans="1:8" x14ac:dyDescent="0.3">
      <c r="A79" s="1">
        <v>1</v>
      </c>
      <c r="B79" s="2">
        <v>1461179</v>
      </c>
      <c r="C79" s="2" t="s">
        <v>19</v>
      </c>
      <c r="D79" s="3">
        <v>46199</v>
      </c>
      <c r="E79" s="3" t="s">
        <v>9</v>
      </c>
      <c r="F79" s="4">
        <v>4715.46</v>
      </c>
      <c r="G79" s="4">
        <v>224.54</v>
      </c>
      <c r="H79" s="7">
        <f t="shared" si="9"/>
        <v>4.7617835799688681E-2</v>
      </c>
    </row>
    <row r="80" spans="1:8" x14ac:dyDescent="0.3">
      <c r="A80" s="1">
        <v>1</v>
      </c>
      <c r="B80" s="2">
        <v>1545325</v>
      </c>
      <c r="C80" s="2" t="s">
        <v>15</v>
      </c>
      <c r="D80" s="3">
        <v>46210</v>
      </c>
      <c r="E80" s="3" t="s">
        <v>10</v>
      </c>
      <c r="F80" s="4">
        <v>5946.3</v>
      </c>
      <c r="G80" s="4">
        <v>103.7</v>
      </c>
      <c r="H80" s="7">
        <f t="shared" ref="H80:H83" si="10">G80/F80</f>
        <v>1.7439416107495418E-2</v>
      </c>
    </row>
    <row r="81" spans="1:8" x14ac:dyDescent="0.3">
      <c r="A81" s="1">
        <v>1</v>
      </c>
      <c r="B81" s="2">
        <v>1545326</v>
      </c>
      <c r="C81" s="2" t="s">
        <v>15</v>
      </c>
      <c r="D81" s="3">
        <v>46210</v>
      </c>
      <c r="E81" s="3" t="s">
        <v>10</v>
      </c>
      <c r="F81" s="4">
        <v>5865.32</v>
      </c>
      <c r="G81" s="4">
        <v>184.68</v>
      </c>
      <c r="H81" s="7">
        <f t="shared" si="10"/>
        <v>3.1486773100188908E-2</v>
      </c>
    </row>
    <row r="82" spans="1:8" x14ac:dyDescent="0.3">
      <c r="A82" s="1">
        <v>1</v>
      </c>
      <c r="B82" s="2">
        <v>1545327</v>
      </c>
      <c r="C82" s="2" t="s">
        <v>15</v>
      </c>
      <c r="D82" s="3">
        <v>46210</v>
      </c>
      <c r="E82" s="3" t="s">
        <v>10</v>
      </c>
      <c r="F82" s="4">
        <v>5691.78</v>
      </c>
      <c r="G82" s="4">
        <v>358.22</v>
      </c>
      <c r="H82" s="7">
        <f t="shared" si="10"/>
        <v>6.2936374912593254E-2</v>
      </c>
    </row>
    <row r="83" spans="1:8" x14ac:dyDescent="0.3">
      <c r="A83" s="1">
        <v>1</v>
      </c>
      <c r="B83" s="2">
        <v>1545328</v>
      </c>
      <c r="C83" s="2" t="s">
        <v>15</v>
      </c>
      <c r="D83" s="3">
        <v>46210</v>
      </c>
      <c r="E83" s="3" t="s">
        <v>10</v>
      </c>
      <c r="F83" s="4">
        <v>5607.45</v>
      </c>
      <c r="G83" s="4">
        <v>442.55</v>
      </c>
      <c r="H83" s="7">
        <f t="shared" si="10"/>
        <v>7.8921791545176506E-2</v>
      </c>
    </row>
    <row r="84" spans="1:8" x14ac:dyDescent="0.3">
      <c r="A84" s="1">
        <v>1</v>
      </c>
      <c r="B84" s="2">
        <v>1551967</v>
      </c>
      <c r="C84" s="2" t="s">
        <v>15</v>
      </c>
      <c r="D84" s="3">
        <v>46219</v>
      </c>
      <c r="E84" s="3" t="s">
        <v>10</v>
      </c>
      <c r="F84" s="4">
        <v>68.709999999999994</v>
      </c>
      <c r="G84" s="4">
        <v>1.29</v>
      </c>
      <c r="H84" s="7">
        <f t="shared" ref="H84:H95" si="11">G84/F84</f>
        <v>1.877455974385097E-2</v>
      </c>
    </row>
    <row r="85" spans="1:8" x14ac:dyDescent="0.3">
      <c r="A85" s="1">
        <v>1</v>
      </c>
      <c r="B85" s="2">
        <v>1551968</v>
      </c>
      <c r="C85" s="2" t="s">
        <v>15</v>
      </c>
      <c r="D85" s="3">
        <v>46219</v>
      </c>
      <c r="E85" s="3" t="s">
        <v>10</v>
      </c>
      <c r="F85" s="4">
        <v>67.67</v>
      </c>
      <c r="G85" s="4">
        <v>2.33</v>
      </c>
      <c r="H85" s="7">
        <f t="shared" si="11"/>
        <v>3.4431801389094137E-2</v>
      </c>
    </row>
    <row r="86" spans="1:8" x14ac:dyDescent="0.3">
      <c r="A86" s="1">
        <v>1</v>
      </c>
      <c r="B86" s="2">
        <v>1551969</v>
      </c>
      <c r="C86" s="2" t="s">
        <v>15</v>
      </c>
      <c r="D86" s="3">
        <v>46219</v>
      </c>
      <c r="E86" s="3" t="s">
        <v>10</v>
      </c>
      <c r="F86" s="4">
        <v>65.760000000000005</v>
      </c>
      <c r="G86" s="4">
        <v>4.24</v>
      </c>
      <c r="H86" s="7">
        <f t="shared" si="11"/>
        <v>6.4476885644768861E-2</v>
      </c>
    </row>
    <row r="87" spans="1:8" x14ac:dyDescent="0.3">
      <c r="A87" s="1">
        <v>1</v>
      </c>
      <c r="B87" s="2">
        <v>1551970</v>
      </c>
      <c r="C87" s="2" t="s">
        <v>15</v>
      </c>
      <c r="D87" s="3">
        <v>46219</v>
      </c>
      <c r="E87" s="3" t="s">
        <v>10</v>
      </c>
      <c r="F87" s="4">
        <v>64.680000000000007</v>
      </c>
      <c r="G87" s="4">
        <v>5.32</v>
      </c>
      <c r="H87" s="7">
        <f t="shared" si="11"/>
        <v>8.2251082251082241E-2</v>
      </c>
    </row>
    <row r="88" spans="1:8" x14ac:dyDescent="0.3">
      <c r="A88" s="1">
        <v>1</v>
      </c>
      <c r="B88" s="2">
        <v>1551079</v>
      </c>
      <c r="C88" s="2" t="s">
        <v>15</v>
      </c>
      <c r="D88" s="3">
        <v>46219</v>
      </c>
      <c r="E88" s="3" t="s">
        <v>10</v>
      </c>
      <c r="F88" s="4">
        <v>736.15</v>
      </c>
      <c r="G88" s="4">
        <v>13.85</v>
      </c>
      <c r="H88" s="7">
        <f t="shared" si="11"/>
        <v>1.8814100387149358E-2</v>
      </c>
    </row>
    <row r="89" spans="1:8" x14ac:dyDescent="0.3">
      <c r="A89" s="1">
        <v>1</v>
      </c>
      <c r="B89" s="2">
        <v>1551080</v>
      </c>
      <c r="C89" s="2" t="s">
        <v>15</v>
      </c>
      <c r="D89" s="3">
        <v>46219</v>
      </c>
      <c r="E89" s="3" t="s">
        <v>10</v>
      </c>
      <c r="F89" s="4">
        <v>725.08</v>
      </c>
      <c r="G89" s="4">
        <v>24.92</v>
      </c>
      <c r="H89" s="7">
        <f t="shared" si="11"/>
        <v>3.4368621393501407E-2</v>
      </c>
    </row>
    <row r="90" spans="1:8" x14ac:dyDescent="0.3">
      <c r="A90" s="1">
        <v>1</v>
      </c>
      <c r="B90" s="2">
        <v>1551081</v>
      </c>
      <c r="C90" s="2" t="s">
        <v>15</v>
      </c>
      <c r="D90" s="3">
        <v>46219</v>
      </c>
      <c r="E90" s="3" t="s">
        <v>10</v>
      </c>
      <c r="F90" s="4">
        <v>704.55</v>
      </c>
      <c r="G90" s="4">
        <v>45.45</v>
      </c>
      <c r="H90" s="7">
        <f t="shared" si="11"/>
        <v>6.4509261230572712E-2</v>
      </c>
    </row>
    <row r="91" spans="1:8" x14ac:dyDescent="0.3">
      <c r="A91" s="1">
        <v>1</v>
      </c>
      <c r="B91" s="2">
        <v>1551082</v>
      </c>
      <c r="C91" s="2" t="s">
        <v>15</v>
      </c>
      <c r="D91" s="3">
        <v>46219</v>
      </c>
      <c r="E91" s="3" t="s">
        <v>10</v>
      </c>
      <c r="F91" s="4">
        <v>693.03</v>
      </c>
      <c r="G91" s="4">
        <v>56.97</v>
      </c>
      <c r="H91" s="7">
        <f t="shared" si="11"/>
        <v>8.2204233582961778E-2</v>
      </c>
    </row>
    <row r="92" spans="1:8" x14ac:dyDescent="0.3">
      <c r="A92" s="1">
        <v>6</v>
      </c>
      <c r="B92" s="2">
        <v>1551972</v>
      </c>
      <c r="C92" s="2" t="s">
        <v>15</v>
      </c>
      <c r="D92" s="3">
        <v>46219</v>
      </c>
      <c r="E92" s="3" t="s">
        <v>10</v>
      </c>
      <c r="F92" s="4">
        <v>2880.79</v>
      </c>
      <c r="G92" s="4">
        <v>54.21</v>
      </c>
      <c r="H92" s="7">
        <f t="shared" si="11"/>
        <v>1.881775485196769E-2</v>
      </c>
    </row>
    <row r="93" spans="1:8" x14ac:dyDescent="0.3">
      <c r="A93" s="1">
        <v>6</v>
      </c>
      <c r="B93" s="2">
        <v>1551973</v>
      </c>
      <c r="C93" s="2" t="s">
        <v>15</v>
      </c>
      <c r="D93" s="3">
        <v>46219</v>
      </c>
      <c r="E93" s="3" t="s">
        <v>10</v>
      </c>
      <c r="F93" s="4">
        <v>2837.49</v>
      </c>
      <c r="G93" s="4">
        <v>97.51</v>
      </c>
      <c r="H93" s="7">
        <f t="shared" si="11"/>
        <v>3.4364878818956196E-2</v>
      </c>
    </row>
    <row r="94" spans="1:8" x14ac:dyDescent="0.3">
      <c r="A94" s="1">
        <v>6</v>
      </c>
      <c r="B94" s="2">
        <v>1551974</v>
      </c>
      <c r="C94" s="2" t="s">
        <v>15</v>
      </c>
      <c r="D94" s="3">
        <v>46219</v>
      </c>
      <c r="E94" s="3" t="s">
        <v>10</v>
      </c>
      <c r="F94" s="4">
        <v>2757.15</v>
      </c>
      <c r="G94" s="4">
        <v>177.85</v>
      </c>
      <c r="H94" s="7">
        <f t="shared" si="11"/>
        <v>6.4505014235714406E-2</v>
      </c>
    </row>
    <row r="95" spans="1:8" x14ac:dyDescent="0.3">
      <c r="A95" s="1">
        <v>6</v>
      </c>
      <c r="B95" s="2">
        <v>1551975</v>
      </c>
      <c r="C95" s="2" t="s">
        <v>15</v>
      </c>
      <c r="D95" s="3">
        <v>46219</v>
      </c>
      <c r="E95" s="3" t="s">
        <v>10</v>
      </c>
      <c r="F95" s="4">
        <v>2712.06</v>
      </c>
      <c r="G95" s="4">
        <v>222.94</v>
      </c>
      <c r="H95" s="7">
        <f t="shared" si="11"/>
        <v>8.2203196094481693E-2</v>
      </c>
    </row>
    <row r="96" spans="1:8" x14ac:dyDescent="0.3">
      <c r="A96" s="1">
        <v>1</v>
      </c>
      <c r="B96" s="2">
        <v>1555721</v>
      </c>
      <c r="C96" s="2" t="s">
        <v>18</v>
      </c>
      <c r="D96" s="3">
        <v>46223</v>
      </c>
      <c r="E96" s="3" t="s">
        <v>10</v>
      </c>
      <c r="F96" s="4">
        <v>25302.34</v>
      </c>
      <c r="G96" s="4">
        <v>337.4</v>
      </c>
      <c r="H96" s="7">
        <f t="shared" ref="H96:H97" si="12">G96/F96</f>
        <v>1.3334735048220836E-2</v>
      </c>
    </row>
    <row r="97" spans="1:8" x14ac:dyDescent="0.3">
      <c r="A97" s="1">
        <v>1</v>
      </c>
      <c r="B97" s="2">
        <v>1555722</v>
      </c>
      <c r="C97" s="2" t="s">
        <v>18</v>
      </c>
      <c r="D97" s="3">
        <v>46223</v>
      </c>
      <c r="E97" s="3" t="s">
        <v>10</v>
      </c>
      <c r="F97" s="4">
        <v>24926.06</v>
      </c>
      <c r="G97" s="4">
        <v>713.68</v>
      </c>
      <c r="H97" s="7">
        <f t="shared" si="12"/>
        <v>2.8631881653177434E-2</v>
      </c>
    </row>
    <row r="98" spans="1:8" x14ac:dyDescent="0.3">
      <c r="A98" s="1">
        <v>6</v>
      </c>
      <c r="B98" s="2">
        <v>1562198</v>
      </c>
      <c r="C98" s="2" t="s">
        <v>15</v>
      </c>
      <c r="D98" s="3">
        <v>46231</v>
      </c>
      <c r="E98" s="3" t="s">
        <v>10</v>
      </c>
      <c r="F98" s="4">
        <v>3452.3</v>
      </c>
      <c r="G98" s="4">
        <v>162.69999999999999</v>
      </c>
      <c r="H98" s="7">
        <f>G98/F98</f>
        <v>4.7128001622106994E-2</v>
      </c>
    </row>
    <row r="99" spans="1:8" x14ac:dyDescent="0.3">
      <c r="A99" s="1">
        <v>1</v>
      </c>
      <c r="B99" s="2">
        <v>1505091</v>
      </c>
      <c r="C99" s="2" t="s">
        <v>14</v>
      </c>
      <c r="D99" s="3">
        <v>46231</v>
      </c>
      <c r="E99" s="3" t="s">
        <v>10</v>
      </c>
      <c r="F99" s="4">
        <v>9031.58</v>
      </c>
      <c r="G99" s="4">
        <v>568.41999999999996</v>
      </c>
      <c r="H99" s="7">
        <f>G99/F99</f>
        <v>6.2936939051638802E-2</v>
      </c>
    </row>
    <row r="100" spans="1:8" x14ac:dyDescent="0.3">
      <c r="A100" s="1">
        <v>1</v>
      </c>
      <c r="B100" s="2">
        <v>1455260</v>
      </c>
      <c r="C100" s="23" t="s">
        <v>14</v>
      </c>
      <c r="D100" s="3">
        <v>46234</v>
      </c>
      <c r="E100" s="3" t="s">
        <v>10</v>
      </c>
      <c r="F100" s="4">
        <v>1917.92</v>
      </c>
      <c r="G100" s="4">
        <v>25.58</v>
      </c>
      <c r="H100" s="7">
        <f t="shared" ref="H100:H102" si="13">G100/F100</f>
        <v>1.3337365479269206E-2</v>
      </c>
    </row>
    <row r="101" spans="1:8" x14ac:dyDescent="0.3">
      <c r="A101" s="1">
        <v>1</v>
      </c>
      <c r="B101" s="2">
        <v>1483322</v>
      </c>
      <c r="C101" s="23" t="s">
        <v>14</v>
      </c>
      <c r="D101" s="3">
        <v>46234</v>
      </c>
      <c r="E101" s="3" t="s">
        <v>10</v>
      </c>
      <c r="F101" s="4">
        <v>1917.92</v>
      </c>
      <c r="G101" s="4">
        <v>25.58</v>
      </c>
      <c r="H101" s="7">
        <f t="shared" si="13"/>
        <v>1.3337365479269206E-2</v>
      </c>
    </row>
    <row r="102" spans="1:8" x14ac:dyDescent="0.3">
      <c r="A102" s="1">
        <v>1</v>
      </c>
      <c r="B102" s="2">
        <v>1540976</v>
      </c>
      <c r="C102" s="23" t="s">
        <v>14</v>
      </c>
      <c r="D102" s="3">
        <v>46234</v>
      </c>
      <c r="E102" s="3" t="s">
        <v>10</v>
      </c>
      <c r="F102" s="4">
        <v>3112.99</v>
      </c>
      <c r="G102" s="4">
        <v>281.81</v>
      </c>
      <c r="H102" s="7">
        <f t="shared" si="13"/>
        <v>9.0527113803770654E-2</v>
      </c>
    </row>
    <row r="103" spans="1:8" x14ac:dyDescent="0.3">
      <c r="A103" s="1">
        <v>1</v>
      </c>
      <c r="B103" s="2">
        <v>1566269</v>
      </c>
      <c r="C103" s="15" t="s">
        <v>16</v>
      </c>
      <c r="D103" s="3">
        <v>46241</v>
      </c>
      <c r="E103" s="3" t="s">
        <v>34</v>
      </c>
      <c r="F103" s="4">
        <v>19206.62</v>
      </c>
      <c r="G103" s="4">
        <v>604.76</v>
      </c>
      <c r="H103" s="7">
        <f>G103/F103</f>
        <v>3.1487060190705081E-2</v>
      </c>
    </row>
    <row r="104" spans="1:8" x14ac:dyDescent="0.3">
      <c r="A104" s="1">
        <v>1</v>
      </c>
      <c r="B104" s="2">
        <v>1576713</v>
      </c>
      <c r="C104" s="2" t="s">
        <v>35</v>
      </c>
      <c r="D104" s="3">
        <v>46251</v>
      </c>
      <c r="E104" s="3" t="s">
        <v>34</v>
      </c>
      <c r="F104" s="4">
        <v>28327.01</v>
      </c>
      <c r="G104" s="4">
        <v>494.02</v>
      </c>
      <c r="H104" s="7">
        <f>G104/F104</f>
        <v>1.743989217358274E-2</v>
      </c>
    </row>
    <row r="105" spans="1:8" x14ac:dyDescent="0.3">
      <c r="A105" s="1">
        <v>6</v>
      </c>
      <c r="B105" s="2">
        <v>1562728</v>
      </c>
      <c r="C105" s="2" t="s">
        <v>15</v>
      </c>
      <c r="D105" s="3">
        <v>46252</v>
      </c>
      <c r="E105" s="3" t="s">
        <v>36</v>
      </c>
      <c r="F105" s="4">
        <v>661.87</v>
      </c>
      <c r="G105" s="4">
        <v>10.63</v>
      </c>
      <c r="H105" s="7">
        <f t="shared" ref="H105:H110" si="14">G105/F105</f>
        <v>1.60605556982489E-2</v>
      </c>
    </row>
    <row r="106" spans="1:8" x14ac:dyDescent="0.3">
      <c r="A106" s="1">
        <v>6</v>
      </c>
      <c r="B106" s="2">
        <v>1562729</v>
      </c>
      <c r="C106" s="2" t="s">
        <v>15</v>
      </c>
      <c r="D106" s="3">
        <v>46252</v>
      </c>
      <c r="E106" s="3" t="s">
        <v>36</v>
      </c>
      <c r="F106" s="4">
        <v>651.97</v>
      </c>
      <c r="G106" s="4">
        <v>20.53</v>
      </c>
      <c r="H106" s="7">
        <f t="shared" si="14"/>
        <v>3.1489178949951686E-2</v>
      </c>
    </row>
    <row r="107" spans="1:8" x14ac:dyDescent="0.3">
      <c r="A107" s="1">
        <v>6</v>
      </c>
      <c r="B107" s="2">
        <v>1562730</v>
      </c>
      <c r="C107" s="2" t="s">
        <v>15</v>
      </c>
      <c r="D107" s="3">
        <v>46252</v>
      </c>
      <c r="E107" s="3" t="s">
        <v>36</v>
      </c>
      <c r="F107" s="4">
        <v>633.61</v>
      </c>
      <c r="G107" s="4">
        <v>38.89</v>
      </c>
      <c r="H107" s="7">
        <f t="shared" si="14"/>
        <v>6.1378450466375217E-2</v>
      </c>
    </row>
    <row r="108" spans="1:8" x14ac:dyDescent="0.3">
      <c r="A108" s="1">
        <v>6</v>
      </c>
      <c r="B108" s="2">
        <v>1578292</v>
      </c>
      <c r="C108" s="2" t="s">
        <v>15</v>
      </c>
      <c r="D108" s="3">
        <v>46252</v>
      </c>
      <c r="E108" s="3" t="s">
        <v>36</v>
      </c>
      <c r="F108" s="4">
        <v>1742.01</v>
      </c>
      <c r="G108" s="4">
        <v>27.99</v>
      </c>
      <c r="H108" s="7">
        <f t="shared" si="14"/>
        <v>1.6067645995143539E-2</v>
      </c>
    </row>
    <row r="109" spans="1:8" x14ac:dyDescent="0.3">
      <c r="A109" s="1">
        <v>14</v>
      </c>
      <c r="B109" s="2">
        <v>1578295</v>
      </c>
      <c r="C109" s="2" t="s">
        <v>15</v>
      </c>
      <c r="D109" s="3">
        <v>46252</v>
      </c>
      <c r="E109" s="3" t="s">
        <v>36</v>
      </c>
      <c r="F109" s="4">
        <v>3025.81</v>
      </c>
      <c r="G109" s="4">
        <v>139.19</v>
      </c>
      <c r="H109" s="7">
        <f t="shared" si="14"/>
        <v>4.6000905542648088E-2</v>
      </c>
    </row>
    <row r="110" spans="1:8" x14ac:dyDescent="0.3">
      <c r="A110" s="1">
        <v>1</v>
      </c>
      <c r="B110" s="2">
        <v>1578293</v>
      </c>
      <c r="C110" s="2" t="s">
        <v>15</v>
      </c>
      <c r="D110" s="3">
        <v>46252</v>
      </c>
      <c r="E110" s="3" t="s">
        <v>36</v>
      </c>
      <c r="F110" s="4">
        <v>4326</v>
      </c>
      <c r="G110" s="4">
        <v>199</v>
      </c>
      <c r="H110" s="7">
        <f t="shared" si="14"/>
        <v>4.6000924641701343E-2</v>
      </c>
    </row>
    <row r="111" spans="1:8" x14ac:dyDescent="0.3">
      <c r="A111" s="1">
        <v>14</v>
      </c>
      <c r="B111" s="2">
        <v>1540990</v>
      </c>
      <c r="C111" s="2" t="s">
        <v>17</v>
      </c>
      <c r="D111" s="3">
        <v>46252</v>
      </c>
      <c r="E111" s="3" t="s">
        <v>34</v>
      </c>
      <c r="F111" s="4">
        <v>37643.589999999997</v>
      </c>
      <c r="G111" s="4">
        <v>98.81</v>
      </c>
      <c r="H111" s="7">
        <f t="shared" ref="H111:H112" si="15">G111/F111</f>
        <v>2.6248824833125643E-3</v>
      </c>
    </row>
    <row r="112" spans="1:8" x14ac:dyDescent="0.3">
      <c r="A112" s="1">
        <v>14</v>
      </c>
      <c r="B112" s="2">
        <v>1554474</v>
      </c>
      <c r="C112" s="2" t="s">
        <v>17</v>
      </c>
      <c r="D112" s="3">
        <v>46252</v>
      </c>
      <c r="E112" s="3" t="s">
        <v>34</v>
      </c>
      <c r="F112" s="4">
        <v>108896.46</v>
      </c>
      <c r="G112" s="4">
        <v>1749.54</v>
      </c>
      <c r="H112" s="7">
        <f t="shared" si="15"/>
        <v>1.6066086996767388E-2</v>
      </c>
    </row>
    <row r="113" spans="1:8" x14ac:dyDescent="0.3">
      <c r="A113" s="1">
        <v>14</v>
      </c>
      <c r="B113" s="2">
        <v>1581223</v>
      </c>
      <c r="C113" s="2" t="s">
        <v>17</v>
      </c>
      <c r="D113" s="3">
        <v>46255</v>
      </c>
      <c r="E113" s="3" t="s">
        <v>34</v>
      </c>
      <c r="F113" s="4">
        <v>29137.15</v>
      </c>
      <c r="G113" s="4">
        <v>2110.85</v>
      </c>
      <c r="H113" s="7">
        <f t="shared" ref="H113:H116" si="16">G113/F113</f>
        <v>7.2445314658434332E-2</v>
      </c>
    </row>
    <row r="114" spans="1:8" x14ac:dyDescent="0.3">
      <c r="A114" s="1">
        <v>14</v>
      </c>
      <c r="B114" s="2">
        <v>1586035</v>
      </c>
      <c r="C114" s="2" t="s">
        <v>15</v>
      </c>
      <c r="D114" s="3">
        <v>46260</v>
      </c>
      <c r="E114" s="3" t="s">
        <v>34</v>
      </c>
      <c r="F114" s="4">
        <v>731.65</v>
      </c>
      <c r="G114" s="4">
        <v>33.35</v>
      </c>
      <c r="H114" s="7">
        <f t="shared" si="16"/>
        <v>4.5581903915806743E-2</v>
      </c>
    </row>
    <row r="115" spans="1:8" x14ac:dyDescent="0.3">
      <c r="A115" s="1">
        <v>1</v>
      </c>
      <c r="B115" s="2">
        <v>1586037</v>
      </c>
      <c r="C115" s="2" t="s">
        <v>15</v>
      </c>
      <c r="D115" s="3">
        <v>46260</v>
      </c>
      <c r="E115" s="3" t="s">
        <v>34</v>
      </c>
      <c r="F115" s="4">
        <v>3121.87</v>
      </c>
      <c r="G115" s="4">
        <v>178.13</v>
      </c>
      <c r="H115" s="7">
        <f t="shared" si="16"/>
        <v>5.7058750044044114E-2</v>
      </c>
    </row>
    <row r="116" spans="1:8" x14ac:dyDescent="0.3">
      <c r="A116" s="1">
        <v>6</v>
      </c>
      <c r="B116" s="2">
        <v>1586038</v>
      </c>
      <c r="C116" s="2" t="s">
        <v>15</v>
      </c>
      <c r="D116" s="3">
        <v>46260</v>
      </c>
      <c r="E116" s="3" t="s">
        <v>34</v>
      </c>
      <c r="F116" s="4">
        <v>5714.59</v>
      </c>
      <c r="G116" s="4">
        <v>260.41000000000003</v>
      </c>
      <c r="H116" s="7">
        <f t="shared" si="16"/>
        <v>4.5569323433527167E-2</v>
      </c>
    </row>
    <row r="117" spans="1:8" x14ac:dyDescent="0.3">
      <c r="A117" s="1">
        <v>1</v>
      </c>
      <c r="B117" s="2">
        <v>1590857</v>
      </c>
      <c r="C117" s="35" t="s">
        <v>15</v>
      </c>
      <c r="D117" s="3">
        <v>46266</v>
      </c>
      <c r="E117" s="3" t="s">
        <v>37</v>
      </c>
      <c r="F117" s="4">
        <v>5719.81</v>
      </c>
      <c r="G117" s="4">
        <v>274.19</v>
      </c>
      <c r="H117" s="7">
        <f>G117/F117</f>
        <v>4.7936906995162426E-2</v>
      </c>
    </row>
    <row r="118" spans="1:8" x14ac:dyDescent="0.3">
      <c r="A118" s="1">
        <v>6</v>
      </c>
      <c r="B118" s="2">
        <v>1590855</v>
      </c>
      <c r="C118" s="35" t="s">
        <v>15</v>
      </c>
      <c r="D118" s="3">
        <v>46266</v>
      </c>
      <c r="E118" s="3" t="s">
        <v>37</v>
      </c>
      <c r="F118" s="4">
        <v>7233.26</v>
      </c>
      <c r="G118" s="4">
        <v>346.74</v>
      </c>
      <c r="H118" s="7">
        <f>G118/F118</f>
        <v>4.7936891526089202E-2</v>
      </c>
    </row>
    <row r="119" spans="1:8" x14ac:dyDescent="0.3">
      <c r="A119" s="1">
        <v>1</v>
      </c>
      <c r="B119" s="2">
        <v>1590856</v>
      </c>
      <c r="C119" s="36" t="s">
        <v>15</v>
      </c>
      <c r="D119" s="3">
        <v>46266</v>
      </c>
      <c r="E119" s="3" t="s">
        <v>37</v>
      </c>
      <c r="F119" s="13">
        <v>8950.94</v>
      </c>
      <c r="G119" s="13">
        <v>429.06</v>
      </c>
      <c r="H119" s="14">
        <f>G119/F119</f>
        <v>4.7934630329328536E-2</v>
      </c>
    </row>
    <row r="120" spans="1:8" x14ac:dyDescent="0.3">
      <c r="A120" s="1">
        <v>1</v>
      </c>
      <c r="B120" s="2">
        <v>1592968</v>
      </c>
      <c r="C120" s="35" t="s">
        <v>15</v>
      </c>
      <c r="D120" s="3">
        <v>46268</v>
      </c>
      <c r="E120" s="3" t="s">
        <v>37</v>
      </c>
      <c r="F120" s="4">
        <v>13038.84</v>
      </c>
      <c r="G120" s="4">
        <v>683.16</v>
      </c>
      <c r="H120" s="7">
        <f>G120/F120</f>
        <v>5.2394231388681815E-2</v>
      </c>
    </row>
    <row r="121" spans="1:8" x14ac:dyDescent="0.3">
      <c r="A121" s="1">
        <v>1</v>
      </c>
      <c r="B121" s="2">
        <v>1591866</v>
      </c>
      <c r="C121" s="37" t="s">
        <v>17</v>
      </c>
      <c r="D121" s="3">
        <v>46268</v>
      </c>
      <c r="E121" s="3" t="s">
        <v>37</v>
      </c>
      <c r="F121" s="4">
        <v>31263.87</v>
      </c>
      <c r="G121" s="4">
        <v>2115.33</v>
      </c>
      <c r="H121" s="7">
        <f>G121/F121</f>
        <v>6.7660529550564272E-2</v>
      </c>
    </row>
    <row r="122" spans="1:8" x14ac:dyDescent="0.3">
      <c r="A122" s="1">
        <v>1</v>
      </c>
      <c r="B122" s="2">
        <v>1600122</v>
      </c>
      <c r="C122" s="35" t="s">
        <v>15</v>
      </c>
      <c r="D122" s="3">
        <v>46280</v>
      </c>
      <c r="E122" s="3" t="s">
        <v>37</v>
      </c>
      <c r="F122" s="4">
        <v>713.58</v>
      </c>
      <c r="G122" s="4">
        <v>14.42</v>
      </c>
      <c r="H122" s="7">
        <f>G122/F122</f>
        <v>2.0207965469884244E-2</v>
      </c>
    </row>
    <row r="123" spans="1:8" x14ac:dyDescent="0.3">
      <c r="A123" s="1">
        <v>1</v>
      </c>
      <c r="B123" s="2">
        <v>1600120</v>
      </c>
      <c r="C123" s="35" t="s">
        <v>15</v>
      </c>
      <c r="D123" s="3">
        <v>46280</v>
      </c>
      <c r="E123" s="3" t="s">
        <v>37</v>
      </c>
      <c r="F123" s="4">
        <v>12416.42</v>
      </c>
      <c r="G123" s="4">
        <v>556.58000000000004</v>
      </c>
      <c r="H123" s="7">
        <f>G123/F123</f>
        <v>4.4826125404907373E-2</v>
      </c>
    </row>
    <row r="124" spans="1:8" x14ac:dyDescent="0.3">
      <c r="A124" s="1">
        <v>1</v>
      </c>
      <c r="B124" s="2">
        <v>1601195</v>
      </c>
      <c r="C124" s="2" t="s">
        <v>38</v>
      </c>
      <c r="D124" s="3">
        <v>46282</v>
      </c>
      <c r="E124" s="3" t="s">
        <v>37</v>
      </c>
      <c r="F124" s="4">
        <v>13793.56</v>
      </c>
      <c r="G124" s="4">
        <v>54.42</v>
      </c>
      <c r="H124" s="7">
        <f>G124/F124</f>
        <v>3.9453194099275312E-3</v>
      </c>
    </row>
    <row r="125" spans="1:8" x14ac:dyDescent="0.3">
      <c r="A125" s="1">
        <v>1</v>
      </c>
      <c r="B125" s="2">
        <v>1605495</v>
      </c>
      <c r="C125" s="35" t="s">
        <v>15</v>
      </c>
      <c r="D125" s="3">
        <v>46286</v>
      </c>
      <c r="E125" s="3" t="s">
        <v>37</v>
      </c>
      <c r="F125" s="4">
        <v>5943.64</v>
      </c>
      <c r="G125" s="4">
        <v>264.36</v>
      </c>
      <c r="H125" s="7">
        <f>G125/F125</f>
        <v>4.4477794752037475E-2</v>
      </c>
    </row>
    <row r="126" spans="1:8" x14ac:dyDescent="0.3">
      <c r="A126" s="1">
        <v>1</v>
      </c>
      <c r="B126" s="2">
        <v>1605711</v>
      </c>
      <c r="C126" s="2" t="s">
        <v>38</v>
      </c>
      <c r="D126" s="3">
        <v>46286</v>
      </c>
      <c r="E126" s="3" t="s">
        <v>37</v>
      </c>
      <c r="F126" s="4">
        <v>14124.06</v>
      </c>
      <c r="G126" s="4">
        <v>169.17</v>
      </c>
      <c r="H126" s="7">
        <f>G126/F126</f>
        <v>1.1977434250491715E-2</v>
      </c>
    </row>
    <row r="127" spans="1:8" x14ac:dyDescent="0.3">
      <c r="A127" s="1">
        <v>1</v>
      </c>
      <c r="B127" s="2">
        <v>1604678</v>
      </c>
      <c r="C127" s="2" t="s">
        <v>35</v>
      </c>
      <c r="D127" s="3">
        <v>46286</v>
      </c>
      <c r="E127" s="3" t="s">
        <v>37</v>
      </c>
      <c r="F127" s="4">
        <v>27635.57</v>
      </c>
      <c r="G127" s="4">
        <v>1525.38</v>
      </c>
      <c r="H127" s="7">
        <f>G127/F127</f>
        <v>5.5196256129328984E-2</v>
      </c>
    </row>
    <row r="128" spans="1:8" x14ac:dyDescent="0.3">
      <c r="A128" s="1">
        <v>1</v>
      </c>
      <c r="B128" s="2">
        <v>1605727</v>
      </c>
      <c r="C128" s="37" t="s">
        <v>17</v>
      </c>
      <c r="D128" s="3">
        <v>46286</v>
      </c>
      <c r="E128" s="3" t="s">
        <v>37</v>
      </c>
      <c r="F128" s="4">
        <v>112933.07</v>
      </c>
      <c r="G128" s="4">
        <v>8181.49</v>
      </c>
      <c r="H128" s="7">
        <f>G128/F128</f>
        <v>7.2445475891162792E-2</v>
      </c>
    </row>
    <row r="129" spans="1:8" x14ac:dyDescent="0.3">
      <c r="A129" s="1">
        <v>6</v>
      </c>
      <c r="B129" s="2">
        <v>1611752</v>
      </c>
      <c r="C129" s="35" t="s">
        <v>15</v>
      </c>
      <c r="D129" s="3">
        <v>46295</v>
      </c>
      <c r="E129" s="3" t="s">
        <v>37</v>
      </c>
      <c r="F129" s="4">
        <v>4055.13</v>
      </c>
      <c r="G129" s="4">
        <v>169.87</v>
      </c>
      <c r="H129" s="7">
        <f>G129/F129</f>
        <v>4.1890149021116464E-2</v>
      </c>
    </row>
    <row r="130" spans="1:8" x14ac:dyDescent="0.3">
      <c r="A130" s="1">
        <v>1</v>
      </c>
      <c r="B130" s="2">
        <v>1611750</v>
      </c>
      <c r="C130" s="36" t="s">
        <v>15</v>
      </c>
      <c r="D130" s="3">
        <v>46295</v>
      </c>
      <c r="E130" s="3" t="s">
        <v>37</v>
      </c>
      <c r="F130" s="13">
        <v>7224.66</v>
      </c>
      <c r="G130" s="13">
        <v>311.33999999999997</v>
      </c>
      <c r="H130" s="14">
        <f>G130/F130</f>
        <v>4.3094069478702111E-2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8FE7-28CB-4156-8A63-A757E837322C}">
  <dimension ref="A1:D36"/>
  <sheetViews>
    <sheetView showGridLines="0" workbookViewId="0">
      <selection activeCell="C4" sqref="C4"/>
    </sheetView>
  </sheetViews>
  <sheetFormatPr defaultRowHeight="14.4" x14ac:dyDescent="0.3"/>
  <cols>
    <col min="1" max="1" width="57.88671875" bestFit="1" customWidth="1"/>
    <col min="2" max="2" width="14" bestFit="1" customWidth="1"/>
    <col min="3" max="3" width="28.6640625" bestFit="1" customWidth="1"/>
    <col min="4" max="4" width="17.33203125" bestFit="1" customWidth="1"/>
  </cols>
  <sheetData>
    <row r="1" spans="1:4" ht="18" x14ac:dyDescent="0.35">
      <c r="A1" s="8" t="s">
        <v>29</v>
      </c>
      <c r="B1" s="9" t="s">
        <v>30</v>
      </c>
      <c r="C1" s="9" t="s">
        <v>31</v>
      </c>
      <c r="D1" s="9" t="s">
        <v>32</v>
      </c>
    </row>
    <row r="2" spans="1:4" x14ac:dyDescent="0.3">
      <c r="A2" t="s">
        <v>16</v>
      </c>
      <c r="B2" s="5">
        <v>58896.08</v>
      </c>
      <c r="C2" s="5">
        <v>482.98</v>
      </c>
      <c r="D2" s="10">
        <f>C2/B2</f>
        <v>8.2005457748631147E-3</v>
      </c>
    </row>
    <row r="3" spans="1:4" x14ac:dyDescent="0.3">
      <c r="A3" t="s">
        <v>17</v>
      </c>
      <c r="B3" s="5">
        <v>68072.399999999994</v>
      </c>
      <c r="C3" s="5">
        <v>3207.6</v>
      </c>
      <c r="D3" s="10">
        <f t="shared" ref="D3:D8" si="0">C3/B3</f>
        <v>4.712041884816754E-2</v>
      </c>
    </row>
    <row r="4" spans="1:4" x14ac:dyDescent="0.3">
      <c r="A4" t="s">
        <v>14</v>
      </c>
      <c r="B4" s="5">
        <v>31186.55</v>
      </c>
      <c r="C4" s="5">
        <v>1889.05</v>
      </c>
      <c r="D4" s="10">
        <f t="shared" si="0"/>
        <v>6.0572586579791608E-2</v>
      </c>
    </row>
    <row r="5" spans="1:4" x14ac:dyDescent="0.3">
      <c r="A5" t="s">
        <v>27</v>
      </c>
      <c r="B5" s="5">
        <v>5383.74</v>
      </c>
      <c r="C5" s="5">
        <v>116.26</v>
      </c>
      <c r="D5" s="10">
        <f t="shared" si="0"/>
        <v>2.1594653530816868E-2</v>
      </c>
    </row>
    <row r="6" spans="1:4" x14ac:dyDescent="0.3">
      <c r="A6" t="s">
        <v>18</v>
      </c>
      <c r="B6" s="5">
        <v>11243.85</v>
      </c>
      <c r="C6" s="5">
        <v>194.66</v>
      </c>
      <c r="D6" s="10">
        <f t="shared" si="0"/>
        <v>1.7312575318952136E-2</v>
      </c>
    </row>
    <row r="7" spans="1:4" x14ac:dyDescent="0.3">
      <c r="A7" t="s">
        <v>15</v>
      </c>
      <c r="B7" s="5">
        <v>109702.44</v>
      </c>
      <c r="C7" s="5">
        <v>4675.5600000000004</v>
      </c>
      <c r="D7" s="10">
        <f>C7/B7</f>
        <v>4.262038291946834E-2</v>
      </c>
    </row>
    <row r="8" spans="1:4" x14ac:dyDescent="0.3">
      <c r="A8" t="s">
        <v>28</v>
      </c>
      <c r="B8" s="5">
        <v>5500.05</v>
      </c>
      <c r="C8" s="5">
        <v>167.86</v>
      </c>
      <c r="D8" s="10">
        <f t="shared" si="0"/>
        <v>3.0519722547976837E-2</v>
      </c>
    </row>
    <row r="36" spans="1:1" ht="17.399999999999999" x14ac:dyDescent="0.45">
      <c r="A36" s="11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ABD61EB924D41B21127CDF640C5BE" ma:contentTypeVersion="12" ma:contentTypeDescription="Create a new document." ma:contentTypeScope="" ma:versionID="1887753e246ec8fa090e47924882d5f6">
  <xsd:schema xmlns:xsd="http://www.w3.org/2001/XMLSchema" xmlns:xs="http://www.w3.org/2001/XMLSchema" xmlns:p="http://schemas.microsoft.com/office/2006/metadata/properties" xmlns:ns2="52079a64-9187-4293-860a-cd501a0368c7" xmlns:ns3="00214df3-eeab-40e9-9d54-728e38b1ce7f" targetNamespace="http://schemas.microsoft.com/office/2006/metadata/properties" ma:root="true" ma:fieldsID="2d2dc2838e92cbb380cff1cf28e8f82a" ns2:_="" ns3:_="">
    <xsd:import namespace="52079a64-9187-4293-860a-cd501a0368c7"/>
    <xsd:import namespace="00214df3-eeab-40e9-9d54-728e38b1c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79a64-9187-4293-860a-cd501a0368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7fa4d4b-534f-467c-b07b-5b3564c03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214df3-eeab-40e9-9d54-728e38b1ce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9a6c381-94d1-4bda-a736-33ea355be7d0}" ma:internalName="TaxCatchAll" ma:showField="CatchAllData" ma:web="00214df3-eeab-40e9-9d54-728e38b1c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214df3-eeab-40e9-9d54-728e38b1ce7f" xsi:nil="true"/>
    <lcf76f155ced4ddcb4097134ff3c332f xmlns="52079a64-9187-4293-860a-cd501a0368c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19D950-698A-4A4D-9E20-C78F9D115B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79a64-9187-4293-860a-cd501a0368c7"/>
    <ds:schemaRef ds:uri="00214df3-eeab-40e9-9d54-728e38b1c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DDE870-10C7-4BE9-834C-0469A4A93DFA}">
  <ds:schemaRefs>
    <ds:schemaRef ds:uri="http://schemas.microsoft.com/office/2006/metadata/properties"/>
    <ds:schemaRef ds:uri="http://schemas.microsoft.com/office/infopath/2007/PartnerControls"/>
    <ds:schemaRef ds:uri="00214df3-eeab-40e9-9d54-728e38b1ce7f"/>
    <ds:schemaRef ds:uri="52079a64-9187-4293-860a-cd501a0368c7"/>
  </ds:schemaRefs>
</ds:datastoreItem>
</file>

<file path=customXml/itemProps3.xml><?xml version="1.0" encoding="utf-8"?>
<ds:datastoreItem xmlns:ds="http://schemas.openxmlformats.org/officeDocument/2006/customXml" ds:itemID="{395444AC-F904-4087-861B-5E7FF9660F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Linha do tempo.</vt:lpstr>
      <vt:lpstr>tabela</vt:lpstr>
      <vt:lpstr>report</vt:lpstr>
      <vt:lpstr>linha do tempo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Geovanna Rufino</cp:lastModifiedBy>
  <cp:revision/>
  <dcterms:created xsi:type="dcterms:W3CDTF">2026-03-03T14:46:25Z</dcterms:created>
  <dcterms:modified xsi:type="dcterms:W3CDTF">2026-10-02T14:15:48Z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0x010100114ABD61EB924D41B21127CDF640C5BE</vt:lpwstr>
  </property>
  <property fmtid="{D5CDD505-2E9C-101B-9397-08002B2CF9AE}" pid="3" name="MediaServiceImageTags">
    <vt:lpwstr/>
  </property>
</Properties>
</file>